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7740" activeTab="2"/>
  </bookViews>
  <sheets>
    <sheet name="Main_Data" sheetId="1" r:id="rId1"/>
    <sheet name="Cleared_Data" sheetId="2" r:id="rId2"/>
    <sheet name="Dashboard" sheetId="4" r:id="rId3"/>
  </sheets>
  <calcPr calcId="152511"/>
  <pivotCaches>
    <pivotCache cacheId="12" r:id="rId4"/>
  </pivotCaches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2" i="2"/>
</calcChain>
</file>

<file path=xl/sharedStrings.xml><?xml version="1.0" encoding="utf-8"?>
<sst xmlns="http://schemas.openxmlformats.org/spreadsheetml/2006/main" count="6051" uniqueCount="1036">
  <si>
    <t>Policy_ID</t>
  </si>
  <si>
    <t>Customer_Name</t>
  </si>
  <si>
    <t>Policy_Type</t>
  </si>
  <si>
    <t>Region</t>
  </si>
  <si>
    <t>Claim_Amount</t>
  </si>
  <si>
    <t>Approved_Amount</t>
  </si>
  <si>
    <t>Claim_Status</t>
  </si>
  <si>
    <t>Claim_Date</t>
  </si>
  <si>
    <t>Policy_Start_Date</t>
  </si>
  <si>
    <t>Policy_End_Date</t>
  </si>
  <si>
    <t>Gender</t>
  </si>
  <si>
    <t>Age</t>
  </si>
  <si>
    <t>Premium_Amount</t>
  </si>
  <si>
    <t>POL1000</t>
  </si>
  <si>
    <t>POL1001</t>
  </si>
  <si>
    <t>POL1002</t>
  </si>
  <si>
    <t>POL1003</t>
  </si>
  <si>
    <t>POL1004</t>
  </si>
  <si>
    <t>POL1005</t>
  </si>
  <si>
    <t>POL1006</t>
  </si>
  <si>
    <t>POL1007</t>
  </si>
  <si>
    <t>POL1008</t>
  </si>
  <si>
    <t>POL1009</t>
  </si>
  <si>
    <t>POL1010</t>
  </si>
  <si>
    <t>POL1011</t>
  </si>
  <si>
    <t>POL1012</t>
  </si>
  <si>
    <t>POL1013</t>
  </si>
  <si>
    <t>POL1014</t>
  </si>
  <si>
    <t>POL1015</t>
  </si>
  <si>
    <t>POL1016</t>
  </si>
  <si>
    <t>POL1017</t>
  </si>
  <si>
    <t>POL1018</t>
  </si>
  <si>
    <t>POL1019</t>
  </si>
  <si>
    <t>POL1020</t>
  </si>
  <si>
    <t>POL1021</t>
  </si>
  <si>
    <t>POL1022</t>
  </si>
  <si>
    <t>POL1023</t>
  </si>
  <si>
    <t>POL1024</t>
  </si>
  <si>
    <t>POL1025</t>
  </si>
  <si>
    <t>POL1026</t>
  </si>
  <si>
    <t>POL1027</t>
  </si>
  <si>
    <t>POL1028</t>
  </si>
  <si>
    <t>POL1029</t>
  </si>
  <si>
    <t>POL1030</t>
  </si>
  <si>
    <t>POL1031</t>
  </si>
  <si>
    <t>POL1032</t>
  </si>
  <si>
    <t>POL1033</t>
  </si>
  <si>
    <t>POL1034</t>
  </si>
  <si>
    <t>POL1035</t>
  </si>
  <si>
    <t>POL1036</t>
  </si>
  <si>
    <t>POL1037</t>
  </si>
  <si>
    <t>POL1038</t>
  </si>
  <si>
    <t>POL1039</t>
  </si>
  <si>
    <t>POL1040</t>
  </si>
  <si>
    <t>POL1041</t>
  </si>
  <si>
    <t>POL1042</t>
  </si>
  <si>
    <t>POL1043</t>
  </si>
  <si>
    <t>POL1044</t>
  </si>
  <si>
    <t>POL1045</t>
  </si>
  <si>
    <t>POL1046</t>
  </si>
  <si>
    <t>POL1047</t>
  </si>
  <si>
    <t>POL1048</t>
  </si>
  <si>
    <t>POL1049</t>
  </si>
  <si>
    <t>POL1050</t>
  </si>
  <si>
    <t>POL1051</t>
  </si>
  <si>
    <t>POL1052</t>
  </si>
  <si>
    <t>POL1053</t>
  </si>
  <si>
    <t>POL1054</t>
  </si>
  <si>
    <t>POL1055</t>
  </si>
  <si>
    <t>POL1056</t>
  </si>
  <si>
    <t>POL1057</t>
  </si>
  <si>
    <t>POL1058</t>
  </si>
  <si>
    <t>POL1059</t>
  </si>
  <si>
    <t>POL1060</t>
  </si>
  <si>
    <t>POL1061</t>
  </si>
  <si>
    <t>POL1062</t>
  </si>
  <si>
    <t>POL1063</t>
  </si>
  <si>
    <t>POL1064</t>
  </si>
  <si>
    <t>POL1065</t>
  </si>
  <si>
    <t>POL1066</t>
  </si>
  <si>
    <t>POL1067</t>
  </si>
  <si>
    <t>POL1068</t>
  </si>
  <si>
    <t>POL1069</t>
  </si>
  <si>
    <t>POL1070</t>
  </si>
  <si>
    <t>POL1071</t>
  </si>
  <si>
    <t>POL1072</t>
  </si>
  <si>
    <t>POL1073</t>
  </si>
  <si>
    <t>POL1074</t>
  </si>
  <si>
    <t>POL1075</t>
  </si>
  <si>
    <t>POL1076</t>
  </si>
  <si>
    <t>POL1077</t>
  </si>
  <si>
    <t>POL1078</t>
  </si>
  <si>
    <t>POL1079</t>
  </si>
  <si>
    <t>POL1080</t>
  </si>
  <si>
    <t>POL1081</t>
  </si>
  <si>
    <t>POL1082</t>
  </si>
  <si>
    <t>POL1083</t>
  </si>
  <si>
    <t>POL1084</t>
  </si>
  <si>
    <t>POL1085</t>
  </si>
  <si>
    <t>POL1086</t>
  </si>
  <si>
    <t>POL1087</t>
  </si>
  <si>
    <t>POL1088</t>
  </si>
  <si>
    <t>POL1089</t>
  </si>
  <si>
    <t>POL1090</t>
  </si>
  <si>
    <t>POL1091</t>
  </si>
  <si>
    <t>POL1092</t>
  </si>
  <si>
    <t>POL1093</t>
  </si>
  <si>
    <t>POL1094</t>
  </si>
  <si>
    <t>POL1095</t>
  </si>
  <si>
    <t>POL1096</t>
  </si>
  <si>
    <t>POL1097</t>
  </si>
  <si>
    <t>POL1098</t>
  </si>
  <si>
    <t>POL1099</t>
  </si>
  <si>
    <t>POL1100</t>
  </si>
  <si>
    <t>POL1101</t>
  </si>
  <si>
    <t>POL1102</t>
  </si>
  <si>
    <t>POL1103</t>
  </si>
  <si>
    <t>POL1104</t>
  </si>
  <si>
    <t>POL1105</t>
  </si>
  <si>
    <t>POL1106</t>
  </si>
  <si>
    <t>POL1107</t>
  </si>
  <si>
    <t>POL1108</t>
  </si>
  <si>
    <t>POL1109</t>
  </si>
  <si>
    <t>POL1110</t>
  </si>
  <si>
    <t>POL1111</t>
  </si>
  <si>
    <t>POL1112</t>
  </si>
  <si>
    <t>POL1113</t>
  </si>
  <si>
    <t>POL1114</t>
  </si>
  <si>
    <t>POL1115</t>
  </si>
  <si>
    <t>POL1116</t>
  </si>
  <si>
    <t>POL1117</t>
  </si>
  <si>
    <t>POL1118</t>
  </si>
  <si>
    <t>POL1119</t>
  </si>
  <si>
    <t>POL1120</t>
  </si>
  <si>
    <t>POL1121</t>
  </si>
  <si>
    <t>POL1122</t>
  </si>
  <si>
    <t>POL1123</t>
  </si>
  <si>
    <t>POL1124</t>
  </si>
  <si>
    <t>POL1125</t>
  </si>
  <si>
    <t>POL1126</t>
  </si>
  <si>
    <t>POL1127</t>
  </si>
  <si>
    <t>POL1128</t>
  </si>
  <si>
    <t>POL1129</t>
  </si>
  <si>
    <t>POL1130</t>
  </si>
  <si>
    <t>POL1131</t>
  </si>
  <si>
    <t>POL1132</t>
  </si>
  <si>
    <t>POL1133</t>
  </si>
  <si>
    <t>POL1134</t>
  </si>
  <si>
    <t>POL1135</t>
  </si>
  <si>
    <t>POL1136</t>
  </si>
  <si>
    <t>POL1137</t>
  </si>
  <si>
    <t>POL1138</t>
  </si>
  <si>
    <t>POL1139</t>
  </si>
  <si>
    <t>POL1140</t>
  </si>
  <si>
    <t>POL1141</t>
  </si>
  <si>
    <t>POL1142</t>
  </si>
  <si>
    <t>POL1143</t>
  </si>
  <si>
    <t>POL1144</t>
  </si>
  <si>
    <t>POL1145</t>
  </si>
  <si>
    <t>POL1146</t>
  </si>
  <si>
    <t>POL1147</t>
  </si>
  <si>
    <t>POL1148</t>
  </si>
  <si>
    <t>POL1149</t>
  </si>
  <si>
    <t>POL1150</t>
  </si>
  <si>
    <t>POL1151</t>
  </si>
  <si>
    <t>POL1152</t>
  </si>
  <si>
    <t>POL1153</t>
  </si>
  <si>
    <t>POL1154</t>
  </si>
  <si>
    <t>POL1155</t>
  </si>
  <si>
    <t>POL1156</t>
  </si>
  <si>
    <t>POL1157</t>
  </si>
  <si>
    <t>POL1158</t>
  </si>
  <si>
    <t>POL1159</t>
  </si>
  <si>
    <t>POL1160</t>
  </si>
  <si>
    <t>POL1161</t>
  </si>
  <si>
    <t>POL1162</t>
  </si>
  <si>
    <t>POL1163</t>
  </si>
  <si>
    <t>POL1164</t>
  </si>
  <si>
    <t>POL1165</t>
  </si>
  <si>
    <t>POL1166</t>
  </si>
  <si>
    <t>POL1167</t>
  </si>
  <si>
    <t>POL1168</t>
  </si>
  <si>
    <t>POL1169</t>
  </si>
  <si>
    <t>POL1170</t>
  </si>
  <si>
    <t>POL1171</t>
  </si>
  <si>
    <t>POL1172</t>
  </si>
  <si>
    <t>POL1173</t>
  </si>
  <si>
    <t>POL1174</t>
  </si>
  <si>
    <t>POL1175</t>
  </si>
  <si>
    <t>POL1176</t>
  </si>
  <si>
    <t>POL1177</t>
  </si>
  <si>
    <t>POL1178</t>
  </si>
  <si>
    <t>POL1179</t>
  </si>
  <si>
    <t>POL1180</t>
  </si>
  <si>
    <t>POL1181</t>
  </si>
  <si>
    <t>POL1182</t>
  </si>
  <si>
    <t>POL1183</t>
  </si>
  <si>
    <t>POL1184</t>
  </si>
  <si>
    <t>POL1185</t>
  </si>
  <si>
    <t>POL1186</t>
  </si>
  <si>
    <t>POL1187</t>
  </si>
  <si>
    <t>POL1188</t>
  </si>
  <si>
    <t>POL1189</t>
  </si>
  <si>
    <t>POL1190</t>
  </si>
  <si>
    <t>POL1191</t>
  </si>
  <si>
    <t>POL1192</t>
  </si>
  <si>
    <t>POL1193</t>
  </si>
  <si>
    <t>POL1194</t>
  </si>
  <si>
    <t>POL1195</t>
  </si>
  <si>
    <t>POL1196</t>
  </si>
  <si>
    <t>POL1197</t>
  </si>
  <si>
    <t>POL1198</t>
  </si>
  <si>
    <t>POL1199</t>
  </si>
  <si>
    <t>POL1200</t>
  </si>
  <si>
    <t>POL1201</t>
  </si>
  <si>
    <t>POL1202</t>
  </si>
  <si>
    <t>POL1203</t>
  </si>
  <si>
    <t>POL1204</t>
  </si>
  <si>
    <t>POL1205</t>
  </si>
  <si>
    <t>POL1206</t>
  </si>
  <si>
    <t>POL1207</t>
  </si>
  <si>
    <t>POL1208</t>
  </si>
  <si>
    <t>POL1209</t>
  </si>
  <si>
    <t>POL1210</t>
  </si>
  <si>
    <t>POL1211</t>
  </si>
  <si>
    <t>POL1212</t>
  </si>
  <si>
    <t>POL1213</t>
  </si>
  <si>
    <t>POL1214</t>
  </si>
  <si>
    <t>POL1215</t>
  </si>
  <si>
    <t>POL1216</t>
  </si>
  <si>
    <t>POL1217</t>
  </si>
  <si>
    <t>POL1218</t>
  </si>
  <si>
    <t>POL1219</t>
  </si>
  <si>
    <t>POL1220</t>
  </si>
  <si>
    <t>POL1221</t>
  </si>
  <si>
    <t>POL1222</t>
  </si>
  <si>
    <t>POL1223</t>
  </si>
  <si>
    <t>POL1224</t>
  </si>
  <si>
    <t>POL1225</t>
  </si>
  <si>
    <t>POL1226</t>
  </si>
  <si>
    <t>POL1227</t>
  </si>
  <si>
    <t>POL1228</t>
  </si>
  <si>
    <t>POL1229</t>
  </si>
  <si>
    <t>POL1230</t>
  </si>
  <si>
    <t>POL1231</t>
  </si>
  <si>
    <t>POL1232</t>
  </si>
  <si>
    <t>POL1233</t>
  </si>
  <si>
    <t>POL1234</t>
  </si>
  <si>
    <t>POL1235</t>
  </si>
  <si>
    <t>POL1236</t>
  </si>
  <si>
    <t>POL1237</t>
  </si>
  <si>
    <t>POL1238</t>
  </si>
  <si>
    <t>POL1239</t>
  </si>
  <si>
    <t>POL1240</t>
  </si>
  <si>
    <t>POL1241</t>
  </si>
  <si>
    <t>POL1242</t>
  </si>
  <si>
    <t>POL1243</t>
  </si>
  <si>
    <t>POL1244</t>
  </si>
  <si>
    <t>POL1245</t>
  </si>
  <si>
    <t>POL1246</t>
  </si>
  <si>
    <t>POL1247</t>
  </si>
  <si>
    <t>POL1248</t>
  </si>
  <si>
    <t>POL1249</t>
  </si>
  <si>
    <t>POL1250</t>
  </si>
  <si>
    <t>POL1251</t>
  </si>
  <si>
    <t>POL1252</t>
  </si>
  <si>
    <t>POL1253</t>
  </si>
  <si>
    <t>POL1254</t>
  </si>
  <si>
    <t>POL1255</t>
  </si>
  <si>
    <t>POL1256</t>
  </si>
  <si>
    <t>POL1257</t>
  </si>
  <si>
    <t>POL1258</t>
  </si>
  <si>
    <t>POL1259</t>
  </si>
  <si>
    <t>POL1260</t>
  </si>
  <si>
    <t>POL1261</t>
  </si>
  <si>
    <t>POL1262</t>
  </si>
  <si>
    <t>POL1263</t>
  </si>
  <si>
    <t>POL1264</t>
  </si>
  <si>
    <t>POL1265</t>
  </si>
  <si>
    <t>POL1266</t>
  </si>
  <si>
    <t>POL1267</t>
  </si>
  <si>
    <t>POL1268</t>
  </si>
  <si>
    <t>POL1269</t>
  </si>
  <si>
    <t>POL1270</t>
  </si>
  <si>
    <t>POL1271</t>
  </si>
  <si>
    <t>POL1272</t>
  </si>
  <si>
    <t>POL1273</t>
  </si>
  <si>
    <t>POL1274</t>
  </si>
  <si>
    <t>POL1275</t>
  </si>
  <si>
    <t>POL1276</t>
  </si>
  <si>
    <t>POL1277</t>
  </si>
  <si>
    <t>POL1278</t>
  </si>
  <si>
    <t>POL1279</t>
  </si>
  <si>
    <t>POL1280</t>
  </si>
  <si>
    <t>POL1281</t>
  </si>
  <si>
    <t>POL1282</t>
  </si>
  <si>
    <t>POL1283</t>
  </si>
  <si>
    <t>POL1284</t>
  </si>
  <si>
    <t>POL1285</t>
  </si>
  <si>
    <t>POL1286</t>
  </si>
  <si>
    <t>POL1287</t>
  </si>
  <si>
    <t>POL1288</t>
  </si>
  <si>
    <t>POL1289</t>
  </si>
  <si>
    <t>POL1290</t>
  </si>
  <si>
    <t>POL1291</t>
  </si>
  <si>
    <t>POL1292</t>
  </si>
  <si>
    <t>POL1293</t>
  </si>
  <si>
    <t>POL1294</t>
  </si>
  <si>
    <t>POL1295</t>
  </si>
  <si>
    <t>POL1296</t>
  </si>
  <si>
    <t>POL1297</t>
  </si>
  <si>
    <t>POL1298</t>
  </si>
  <si>
    <t>POL1299</t>
  </si>
  <si>
    <t>POL1300</t>
  </si>
  <si>
    <t>POL1301</t>
  </si>
  <si>
    <t>POL1302</t>
  </si>
  <si>
    <t>POL1303</t>
  </si>
  <si>
    <t>POL1304</t>
  </si>
  <si>
    <t>POL1305</t>
  </si>
  <si>
    <t>POL1306</t>
  </si>
  <si>
    <t>POL1307</t>
  </si>
  <si>
    <t>POL1308</t>
  </si>
  <si>
    <t>POL1309</t>
  </si>
  <si>
    <t>POL1310</t>
  </si>
  <si>
    <t>POL1311</t>
  </si>
  <si>
    <t>POL1312</t>
  </si>
  <si>
    <t>POL1313</t>
  </si>
  <si>
    <t>POL1314</t>
  </si>
  <si>
    <t>POL1315</t>
  </si>
  <si>
    <t>POL1316</t>
  </si>
  <si>
    <t>POL1317</t>
  </si>
  <si>
    <t>POL1318</t>
  </si>
  <si>
    <t>POL1319</t>
  </si>
  <si>
    <t>POL1320</t>
  </si>
  <si>
    <t>POL1321</t>
  </si>
  <si>
    <t>POL1322</t>
  </si>
  <si>
    <t>POL1323</t>
  </si>
  <si>
    <t>POL1324</t>
  </si>
  <si>
    <t>POL1325</t>
  </si>
  <si>
    <t>POL1326</t>
  </si>
  <si>
    <t>POL1327</t>
  </si>
  <si>
    <t>POL1328</t>
  </si>
  <si>
    <t>POL1329</t>
  </si>
  <si>
    <t>POL1330</t>
  </si>
  <si>
    <t>POL1331</t>
  </si>
  <si>
    <t>POL1332</t>
  </si>
  <si>
    <t>POL1333</t>
  </si>
  <si>
    <t>POL1334</t>
  </si>
  <si>
    <t>POL1335</t>
  </si>
  <si>
    <t>POL1336</t>
  </si>
  <si>
    <t>POL1337</t>
  </si>
  <si>
    <t>POL1338</t>
  </si>
  <si>
    <t>POL1339</t>
  </si>
  <si>
    <t>POL1340</t>
  </si>
  <si>
    <t>POL1341</t>
  </si>
  <si>
    <t>POL1342</t>
  </si>
  <si>
    <t>POL1343</t>
  </si>
  <si>
    <t>POL1344</t>
  </si>
  <si>
    <t>POL1345</t>
  </si>
  <si>
    <t>POL1346</t>
  </si>
  <si>
    <t>POL1347</t>
  </si>
  <si>
    <t>POL1348</t>
  </si>
  <si>
    <t>POL1349</t>
  </si>
  <si>
    <t>POL1350</t>
  </si>
  <si>
    <t>POL1351</t>
  </si>
  <si>
    <t>POL1352</t>
  </si>
  <si>
    <t>POL1353</t>
  </si>
  <si>
    <t>POL1354</t>
  </si>
  <si>
    <t>POL1355</t>
  </si>
  <si>
    <t>POL1356</t>
  </si>
  <si>
    <t>POL1357</t>
  </si>
  <si>
    <t>POL1358</t>
  </si>
  <si>
    <t>POL1359</t>
  </si>
  <si>
    <t>POL1360</t>
  </si>
  <si>
    <t>POL1361</t>
  </si>
  <si>
    <t>POL1362</t>
  </si>
  <si>
    <t>POL1363</t>
  </si>
  <si>
    <t>POL1364</t>
  </si>
  <si>
    <t>POL1365</t>
  </si>
  <si>
    <t>POL1366</t>
  </si>
  <si>
    <t>POL1367</t>
  </si>
  <si>
    <t>POL1368</t>
  </si>
  <si>
    <t>POL1369</t>
  </si>
  <si>
    <t>POL1370</t>
  </si>
  <si>
    <t>POL1371</t>
  </si>
  <si>
    <t>POL1372</t>
  </si>
  <si>
    <t>POL1373</t>
  </si>
  <si>
    <t>POL1374</t>
  </si>
  <si>
    <t>POL1375</t>
  </si>
  <si>
    <t>POL1376</t>
  </si>
  <si>
    <t>POL1377</t>
  </si>
  <si>
    <t>POL1378</t>
  </si>
  <si>
    <t>POL1379</t>
  </si>
  <si>
    <t>POL1380</t>
  </si>
  <si>
    <t>POL1381</t>
  </si>
  <si>
    <t>POL1382</t>
  </si>
  <si>
    <t>POL1383</t>
  </si>
  <si>
    <t>POL1384</t>
  </si>
  <si>
    <t>POL1385</t>
  </si>
  <si>
    <t>POL1386</t>
  </si>
  <si>
    <t>POL1387</t>
  </si>
  <si>
    <t>POL1388</t>
  </si>
  <si>
    <t>POL1389</t>
  </si>
  <si>
    <t>POL1390</t>
  </si>
  <si>
    <t>POL1391</t>
  </si>
  <si>
    <t>POL1392</t>
  </si>
  <si>
    <t>POL1393</t>
  </si>
  <si>
    <t>POL1394</t>
  </si>
  <si>
    <t>POL1395</t>
  </si>
  <si>
    <t>POL1396</t>
  </si>
  <si>
    <t>POL1397</t>
  </si>
  <si>
    <t>POL1398</t>
  </si>
  <si>
    <t>POL1399</t>
  </si>
  <si>
    <t>POL1400</t>
  </si>
  <si>
    <t>POL1401</t>
  </si>
  <si>
    <t>POL1402</t>
  </si>
  <si>
    <t>POL1403</t>
  </si>
  <si>
    <t>POL1404</t>
  </si>
  <si>
    <t>POL1405</t>
  </si>
  <si>
    <t>POL1406</t>
  </si>
  <si>
    <t>POL1407</t>
  </si>
  <si>
    <t>POL1408</t>
  </si>
  <si>
    <t>POL1409</t>
  </si>
  <si>
    <t>POL1410</t>
  </si>
  <si>
    <t>POL1411</t>
  </si>
  <si>
    <t>POL1412</t>
  </si>
  <si>
    <t>POL1413</t>
  </si>
  <si>
    <t>POL1414</t>
  </si>
  <si>
    <t>POL1415</t>
  </si>
  <si>
    <t>POL1416</t>
  </si>
  <si>
    <t>POL1417</t>
  </si>
  <si>
    <t>POL1418</t>
  </si>
  <si>
    <t>POL1419</t>
  </si>
  <si>
    <t>POL1420</t>
  </si>
  <si>
    <t>POL1421</t>
  </si>
  <si>
    <t>POL1422</t>
  </si>
  <si>
    <t>POL1423</t>
  </si>
  <si>
    <t>POL1424</t>
  </si>
  <si>
    <t>POL1425</t>
  </si>
  <si>
    <t>POL1426</t>
  </si>
  <si>
    <t>POL1427</t>
  </si>
  <si>
    <t>POL1428</t>
  </si>
  <si>
    <t>POL1429</t>
  </si>
  <si>
    <t>POL1430</t>
  </si>
  <si>
    <t>POL1431</t>
  </si>
  <si>
    <t>POL1432</t>
  </si>
  <si>
    <t>POL1433</t>
  </si>
  <si>
    <t>POL1434</t>
  </si>
  <si>
    <t>POL1435</t>
  </si>
  <si>
    <t>POL1436</t>
  </si>
  <si>
    <t>POL1437</t>
  </si>
  <si>
    <t>POL1438</t>
  </si>
  <si>
    <t>POL1439</t>
  </si>
  <si>
    <t>POL1440</t>
  </si>
  <si>
    <t>POL1441</t>
  </si>
  <si>
    <t>POL1442</t>
  </si>
  <si>
    <t>POL1443</t>
  </si>
  <si>
    <t>POL1444</t>
  </si>
  <si>
    <t>POL1445</t>
  </si>
  <si>
    <t>POL1446</t>
  </si>
  <si>
    <t>POL1447</t>
  </si>
  <si>
    <t>POL1448</t>
  </si>
  <si>
    <t>POL1449</t>
  </si>
  <si>
    <t>POL1450</t>
  </si>
  <si>
    <t>POL1451</t>
  </si>
  <si>
    <t>POL1452</t>
  </si>
  <si>
    <t>POL1453</t>
  </si>
  <si>
    <t>POL1454</t>
  </si>
  <si>
    <t>POL1455</t>
  </si>
  <si>
    <t>POL1456</t>
  </si>
  <si>
    <t>POL1457</t>
  </si>
  <si>
    <t>POL1458</t>
  </si>
  <si>
    <t>POL1459</t>
  </si>
  <si>
    <t>POL1460</t>
  </si>
  <si>
    <t>POL1461</t>
  </si>
  <si>
    <t>POL1462</t>
  </si>
  <si>
    <t>POL1463</t>
  </si>
  <si>
    <t>POL1464</t>
  </si>
  <si>
    <t>POL1465</t>
  </si>
  <si>
    <t>POL1466</t>
  </si>
  <si>
    <t>POL1467</t>
  </si>
  <si>
    <t>POL1468</t>
  </si>
  <si>
    <t>POL1469</t>
  </si>
  <si>
    <t>POL1470</t>
  </si>
  <si>
    <t>POL1471</t>
  </si>
  <si>
    <t>POL1472</t>
  </si>
  <si>
    <t>POL1473</t>
  </si>
  <si>
    <t>POL1474</t>
  </si>
  <si>
    <t>POL1475</t>
  </si>
  <si>
    <t>POL1476</t>
  </si>
  <si>
    <t>POL1477</t>
  </si>
  <si>
    <t>POL1478</t>
  </si>
  <si>
    <t>POL1479</t>
  </si>
  <si>
    <t>POL1480</t>
  </si>
  <si>
    <t>POL1481</t>
  </si>
  <si>
    <t>POL1482</t>
  </si>
  <si>
    <t>POL1483</t>
  </si>
  <si>
    <t>POL1484</t>
  </si>
  <si>
    <t>POL1485</t>
  </si>
  <si>
    <t>POL1486</t>
  </si>
  <si>
    <t>POL1487</t>
  </si>
  <si>
    <t>POL1488</t>
  </si>
  <si>
    <t>POL1489</t>
  </si>
  <si>
    <t>POL1490</t>
  </si>
  <si>
    <t>POL1491</t>
  </si>
  <si>
    <t>POL1492</t>
  </si>
  <si>
    <t>POL1493</t>
  </si>
  <si>
    <t>POL1494</t>
  </si>
  <si>
    <t>POL1495</t>
  </si>
  <si>
    <t>POL1496</t>
  </si>
  <si>
    <t>POL1497</t>
  </si>
  <si>
    <t>POL1498</t>
  </si>
  <si>
    <t>POL1499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</si>
  <si>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</si>
  <si>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</si>
  <si>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</si>
  <si>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</si>
  <si>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</si>
  <si>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</si>
  <si>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</si>
  <si>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</si>
  <si>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</si>
  <si>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</si>
  <si>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</si>
  <si>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</si>
  <si>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</si>
  <si>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</si>
  <si>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</si>
  <si>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</si>
  <si>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</si>
  <si>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</si>
  <si>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</si>
  <si>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</si>
  <si>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</si>
  <si>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</si>
  <si>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</si>
  <si>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</si>
  <si>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</si>
  <si>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</si>
  <si>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</si>
  <si>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</si>
  <si>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</si>
  <si>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</si>
  <si>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</si>
  <si>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</si>
  <si>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</si>
  <si>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</si>
  <si>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</si>
  <si>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</si>
  <si>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</si>
  <si>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</si>
  <si>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</si>
  <si>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</si>
  <si>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</si>
  <si>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</si>
  <si>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</si>
  <si>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</si>
  <si>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</si>
  <si>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</si>
  <si>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</si>
  <si>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</si>
  <si>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</si>
  <si>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</si>
  <si>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</si>
  <si>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</si>
  <si>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</si>
  <si>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</si>
  <si>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</si>
  <si>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</si>
  <si>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</si>
  <si>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</si>
  <si>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</si>
  <si>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</si>
  <si>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</si>
  <si>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</si>
  <si>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</si>
  <si>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</si>
  <si>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</si>
  <si>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</si>
  <si>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</si>
  <si>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</si>
  <si>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</si>
  <si>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</si>
  <si>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</si>
  <si>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</si>
  <si>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</si>
  <si>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</si>
  <si>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</si>
  <si>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</si>
  <si>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</si>
  <si>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</si>
  <si>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</si>
  <si>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</si>
  <si>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</si>
  <si>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</si>
  <si>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</si>
  <si>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</si>
  <si>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</si>
  <si>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</si>
  <si>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</si>
  <si>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</si>
  <si>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</si>
  <si>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</si>
  <si>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</si>
  <si>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</si>
  <si>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</si>
  <si>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</si>
  <si>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</si>
  <si>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</si>
  <si>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</si>
  <si>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</si>
  <si>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</si>
  <si>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</si>
  <si>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</si>
  <si>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</si>
  <si>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</si>
  <si>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</si>
  <si>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</si>
  <si>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</si>
  <si>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</si>
  <si>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</si>
  <si>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</si>
  <si>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</si>
  <si>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</si>
  <si>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</si>
  <si>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</si>
  <si>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</si>
  <si>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</si>
  <si>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</si>
  <si>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</si>
  <si>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</si>
  <si>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</si>
  <si>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</si>
  <si>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</si>
  <si>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</si>
  <si>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</si>
  <si>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</si>
  <si>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</si>
  <si>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</si>
  <si>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</si>
  <si>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</si>
  <si>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</si>
  <si>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</si>
  <si>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</si>
  <si>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</si>
  <si>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</si>
  <si>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</si>
  <si>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</si>
  <si>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</si>
  <si>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</si>
  <si>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</si>
  <si>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</si>
  <si>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</si>
  <si>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</si>
  <si>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</si>
  <si>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</si>
  <si>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</si>
  <si>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</si>
  <si>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</si>
  <si>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</si>
  <si>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</si>
  <si>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</si>
  <si>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</si>
  <si>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</si>
  <si>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</si>
  <si>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</si>
  <si>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</si>
  <si>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</si>
  <si>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</si>
  <si>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</si>
  <si>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</si>
  <si>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</si>
  <si>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</si>
  <si>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</si>
  <si>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</si>
  <si>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</si>
  <si>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</si>
  <si>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</si>
  <si>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</si>
  <si>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</si>
  <si>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</si>
  <si>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</si>
  <si>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</si>
  <si>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</si>
  <si>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</si>
  <si>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</si>
  <si>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</si>
  <si>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</si>
  <si>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</si>
  <si>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</si>
  <si>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</si>
  <si>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</si>
  <si>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</si>
  <si>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</si>
  <si>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</si>
  <si>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</si>
  <si>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</si>
  <si>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</si>
  <si>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</si>
  <si>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</si>
  <si>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</si>
  <si>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</si>
  <si>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</si>
  <si>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</si>
  <si>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</si>
  <si>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</si>
  <si>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</si>
  <si>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</si>
  <si>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</si>
  <si>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</si>
  <si>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</si>
  <si>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</si>
  <si>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</si>
  <si>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</si>
  <si>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</si>
  <si>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</si>
  <si>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</si>
  <si>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</si>
  <si>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</si>
  <si>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</si>
  <si>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</si>
  <si>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</si>
  <si>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</si>
  <si>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</si>
  <si>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</si>
  <si>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</si>
  <si>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</si>
  <si>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</si>
  <si>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</si>
  <si>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</si>
  <si>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</si>
  <si>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</si>
  <si>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</si>
  <si>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</si>
  <si>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</si>
  <si>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</si>
  <si>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</si>
  <si>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</si>
  <si>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</si>
  <si>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</si>
  <si>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</si>
  <si>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</si>
  <si>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</si>
  <si>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</si>
  <si>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</si>
  <si>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</si>
  <si>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</si>
  <si>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</si>
  <si>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</si>
  <si>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</si>
  <si>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</si>
  <si>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</si>
  <si>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</si>
  <si>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</si>
  <si>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</si>
  <si>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</si>
  <si>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</si>
  <si>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</si>
  <si>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</si>
  <si>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</si>
  <si>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</si>
  <si>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</si>
  <si>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</si>
  <si>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</si>
  <si>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</si>
  <si>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</si>
  <si>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</si>
  <si>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</si>
  <si>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</si>
  <si>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</si>
  <si>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</si>
  <si>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</si>
  <si>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</si>
  <si>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</si>
  <si>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</si>
  <si>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</si>
  <si>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</si>
  <si>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</si>
  <si>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</si>
  <si>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</si>
  <si>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</si>
  <si>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</si>
  <si>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</si>
  <si>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</si>
  <si>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</si>
  <si>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</si>
  <si>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</si>
  <si>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</si>
  <si>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</si>
  <si>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</si>
  <si>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</si>
  <si>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</si>
  <si>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</si>
  <si>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</si>
  <si>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</si>
  <si>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</si>
  <si>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</si>
  <si>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</si>
  <si>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</si>
  <si>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</si>
  <si>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</si>
  <si>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</si>
  <si>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</si>
  <si>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</si>
  <si>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</si>
  <si>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</si>
  <si>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</si>
  <si>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</si>
  <si>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</si>
  <si>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</si>
  <si>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</si>
  <si>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</si>
  <si>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</si>
  <si>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</si>
  <si>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</si>
  <si>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</si>
  <si>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</si>
  <si>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</si>
  <si>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</si>
  <si>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</si>
  <si>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</si>
  <si>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</si>
  <si>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</si>
  <si>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</si>
  <si>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</si>
  <si>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</si>
  <si>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</si>
  <si>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</si>
  <si>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</si>
  <si>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</si>
  <si>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</si>
  <si>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</si>
  <si>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</si>
  <si>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</si>
  <si>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</si>
  <si>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</si>
  <si>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</si>
  <si>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</si>
  <si>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</si>
  <si>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</si>
  <si>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</si>
  <si>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</si>
  <si>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</si>
  <si>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</si>
  <si>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</si>
  <si>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</si>
  <si>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</si>
  <si>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</si>
  <si>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</si>
  <si>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</si>
  <si>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</si>
  <si>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</si>
  <si>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</si>
  <si>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</si>
  <si>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</si>
  <si>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</si>
  <si>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</si>
  <si>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</si>
  <si>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</si>
  <si>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</si>
  <si>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</si>
  <si>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</si>
  <si>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</si>
  <si>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</si>
  <si>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</si>
  <si>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</si>
  <si>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</si>
  <si>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</si>
  <si>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</si>
  <si>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</si>
  <si>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</si>
  <si>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</si>
  <si>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</si>
  <si>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</si>
  <si>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</si>
  <si>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</si>
  <si>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</si>
  <si>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</si>
  <si>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</si>
  <si>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</si>
  <si>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</si>
  <si>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</si>
  <si>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</si>
  <si>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</si>
  <si>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</si>
  <si>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</si>
  <si>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</si>
  <si>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</si>
  <si>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</si>
  <si>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</si>
  <si>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</si>
  <si>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</si>
  <si>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</si>
  <si>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</si>
  <si>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</si>
  <si>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</si>
  <si>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</si>
  <si>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</si>
  <si>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</si>
  <si>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</si>
  <si>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</si>
  <si>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</si>
  <si>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</si>
  <si>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</si>
  <si>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</si>
  <si>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</si>
  <si>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</si>
  <si>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</si>
  <si>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</si>
  <si>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</si>
  <si>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</si>
  <si>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</si>
  <si>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</si>
  <si>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</si>
  <si>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</si>
  <si>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</si>
  <si>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</si>
  <si>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</si>
  <si>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</si>
  <si>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</si>
  <si>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</si>
  <si>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</si>
  <si>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</si>
  <si>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</si>
  <si>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</si>
  <si>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</si>
  <si>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</si>
  <si>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</si>
  <si>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</si>
  <si>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</si>
  <si>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</si>
  <si>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</si>
  <si>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</si>
  <si>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</si>
  <si>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</si>
  <si>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</si>
  <si>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</si>
  <si>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</si>
  <si>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</si>
  <si>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</si>
  <si>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</si>
  <si>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</si>
  <si>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</si>
  <si>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</si>
  <si>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</si>
  <si>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</si>
  <si>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</si>
  <si>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</si>
  <si>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</si>
  <si>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</si>
  <si>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</si>
  <si>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</si>
  <si>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</si>
  <si>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</si>
  <si>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</si>
  <si>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</si>
  <si>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</si>
  <si>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</si>
  <si>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</si>
  <si>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</si>
  <si>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</si>
  <si>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</si>
  <si>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</si>
  <si>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</si>
  <si>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</si>
  <si>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</si>
  <si>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</si>
  <si>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</si>
  <si>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</si>
  <si>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</si>
  <si>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</si>
  <si>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</si>
  <si>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</si>
  <si>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</si>
  <si>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</si>
  <si>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</si>
  <si>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</si>
  <si>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</si>
  <si>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</si>
  <si>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</si>
  <si>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</si>
  <si>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</si>
  <si>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</si>
  <si>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</si>
  <si>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</si>
  <si>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</si>
  <si>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</si>
  <si>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</si>
  <si>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</si>
  <si>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</si>
  <si>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</si>
  <si>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</si>
  <si>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</si>
  <si>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</si>
  <si>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</si>
  <si>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</si>
  <si>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</si>
  <si>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</si>
  <si>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</si>
  <si>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</si>
  <si>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</si>
  <si>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</si>
  <si>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</si>
  <si>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</si>
  <si>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</si>
  <si>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</si>
  <si>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</si>
  <si>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</si>
  <si>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</si>
  <si>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</si>
  <si>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</si>
  <si>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</si>
  <si>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</si>
  <si>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Life</t>
  </si>
  <si>
    <t>Travel</t>
  </si>
  <si>
    <t>Health</t>
  </si>
  <si>
    <t>Motor</t>
  </si>
  <si>
    <t>Chennai</t>
  </si>
  <si>
    <t>Pune</t>
  </si>
  <si>
    <t>Delhi</t>
  </si>
  <si>
    <t>Mumbai</t>
  </si>
  <si>
    <t>Bangalore</t>
  </si>
  <si>
    <t>Pending</t>
  </si>
  <si>
    <t>Approved</t>
  </si>
  <si>
    <t>Rejected</t>
  </si>
  <si>
    <t>M</t>
  </si>
  <si>
    <t>F</t>
  </si>
  <si>
    <t>Claim_Approval_Ratio</t>
  </si>
  <si>
    <t>Policy_Duration_Days</t>
  </si>
  <si>
    <t>Claim_Age_Days</t>
  </si>
  <si>
    <t>High_Value_Flag</t>
  </si>
  <si>
    <t>Appr_&amp;_claim_amt</t>
  </si>
  <si>
    <t>Row Labels</t>
  </si>
  <si>
    <t>Grand Total</t>
  </si>
  <si>
    <t>Count of Policy_Type</t>
  </si>
  <si>
    <t>Sum of Approved_Amount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</si>
</sst>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[Excel_Second_Project.xlsx]Dashboard!PivotTable1</c:name>
    <c:fmtId val="3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Dashboard!$A$2:$A$6</c:f>
              <c:strCache>
                <c:ptCount val="4"/>
                <c:pt idx="0">
                  <c:v>Health</c:v>
                </c:pt>
                <c:pt idx="1">
                  <c:v>Life</c:v>
                </c:pt>
                <c:pt idx="2">
                  <c:v>Motor</c:v>
                </c:pt>
                <c:pt idx="3">
                  <c:v>Travel</c:v>
                </c:pt>
              </c:strCache>
            </c:strRef>
          </c:cat>
          <c:val>
            <c:numRef>
              <c:f>Dashboard!$B$2:$B$6</c:f>
              <c:numCache>
                <c:formatCode>General</c:formatCode>
                <c:ptCount val="4"/>
                <c:pt idx="0">
                  <c:v>3988562.3683652338</c:v>
                </c:pt>
                <c:pt idx="1">
                  <c:v>4498463.8133035442</c:v>
                </c:pt>
                <c:pt idx="2">
                  <c:v>3527838.7991017993</c:v>
                </c:pt>
                <c:pt idx="3">
                  <c:v>5289131.1743512629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14721896"/>
        <c:axId val="614722680"/>
      </c:barChart>
      <c:catAx>
        <c:axId val="614721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722680"/>
        <c:crosses val="autoZero"/>
        <c:auto val="1"/>
        <c:lblAlgn val="ctr"/>
        <c:lblOffset val="100"/>
        <c:noMultiLvlLbl val="0"/>
      </c:catAx>
      <c:valAx>
        <c:axId val="614722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721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[Excel_Second_Project.xlsx]Dashboard!PivotTable2</c:name>
    <c:fmtId val="13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01411647868341"/>
          <c:y val="5.2757793764988008E-2"/>
          <c:w val="0.82194083847627153"/>
          <c:h val="0.7262338790385014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Dashboard!$E$1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Dashboard!$D$2:$D$7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  <c:pt idx="4">
                  <c:v>Pune</c:v>
                </c:pt>
              </c:strCache>
            </c:strRef>
          </c:cat>
          <c:val>
            <c:numRef>
              <c:f>Dashboard!$E$2:$E$7</c:f>
              <c:numCache>
                <c:formatCode>General</c:formatCode>
                <c:ptCount val="5"/>
                <c:pt idx="0">
                  <c:v>91</c:v>
                </c:pt>
                <c:pt idx="1">
                  <c:v>114</c:v>
                </c:pt>
                <c:pt idx="2">
                  <c:v>86</c:v>
                </c:pt>
                <c:pt idx="3">
                  <c:v>110</c:v>
                </c:pt>
                <c:pt idx="4">
                  <c:v>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0632016"/>
        <c:axId val="490631232"/>
      </c:barChart>
      <c:catAx>
        <c:axId val="49063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631232"/>
        <c:crosses val="autoZero"/>
        <c:auto val="1"/>
        <c:lblAlgn val="ctr"/>
        <c:lblOffset val="100"/>
        <c:noMultiLvlLbl val="0"/>
      </c:catAx>
      <c:valAx>
        <c:axId val="49063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63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[Excel_Second_Project.xlsx]Dashboard!PivotTable3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Dashboard!$H$1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Dashboard!$G$2:$G$4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Dashboard!$H$2:$H$4</c:f>
              <c:numCache>
                <c:formatCode>General</c:formatCode>
                <c:ptCount val="2"/>
                <c:pt idx="0">
                  <c:v>226</c:v>
                </c:pt>
                <c:pt idx="1">
                  <c:v>274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50800</xdr:rowOff>
    </xdr:from>
    <xdr:to>
      <xdr:col>2</xdr:col>
      <xdr:colOff>419100</xdr:colOff>
      <xdr:row>21</xdr:row>
      <xdr:rowOff>88900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654050</xdr:colOff>
      <xdr:row>7</xdr:row>
      <xdr:rowOff>50800</xdr:rowOff>
    </xdr:from>
    <xdr:to>
      <xdr:col>5</xdr:col>
      <xdr:colOff>330200</xdr:colOff>
      <xdr:row>21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438150</xdr:colOff>
      <xdr:row>7</xdr:row>
      <xdr:rowOff>82550</xdr:rowOff>
    </xdr:from>
    <xdr:to>
      <xdr:col>8</xdr:col>
      <xdr:colOff>247650</xdr:colOff>
      <xdr:row>20</xdr:row>
      <xdr:rowOff>31750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963.943953240741" createdVersion="5" refreshedVersion="5" minRefreshableVersion="3" recordCount="500">
  <cacheSource type="worksheet">
    <worksheetSource ref="A1:M501" sheet="Cleared_Data"/>
  </cacheSource>
  <cacheFields count="13">
    <cacheField name="Policy_ID" numFmtId="0">
      <sharedItems count="500">
        <s v="POL1000"/>
        <s v="POL1001"/>
        <s v="POL1002"/>
        <s v="POL1003"/>
        <s v="POL1004"/>
        <s v="POL1005"/>
        <s v="POL1006"/>
        <s v="POL1007"/>
        <s v="POL1008"/>
        <s v="POL1009"/>
        <s v="POL1010"/>
        <s v="POL1011"/>
        <s v="POL1012"/>
        <s v="POL1013"/>
        <s v="POL1014"/>
        <s v="POL1015"/>
        <s v="POL1016"/>
        <s v="POL1017"/>
        <s v="POL1018"/>
        <s v="POL1019"/>
        <s v="POL1020"/>
        <s v="POL1021"/>
        <s v="POL1022"/>
        <s v="POL1023"/>
        <s v="POL1024"/>
        <s v="POL1025"/>
        <s v="POL1026"/>
        <s v="POL1027"/>
        <s v="POL1028"/>
        <s v="POL1029"/>
        <s v="POL1030"/>
        <s v="POL1031"/>
        <s v="POL1032"/>
        <s v="POL1033"/>
        <s v="POL1034"/>
        <s v="POL1035"/>
        <s v="POL1036"/>
        <s v="POL1037"/>
        <s v="POL1038"/>
        <s v="POL1039"/>
        <s v="POL1040"/>
        <s v="POL1041"/>
        <s v="POL1042"/>
        <s v="POL1043"/>
        <s v="POL1044"/>
        <s v="POL1045"/>
        <s v="POL1046"/>
        <s v="POL1047"/>
        <s v="POL1048"/>
        <s v="POL1049"/>
        <s v="POL1050"/>
        <s v="POL1051"/>
        <s v="POL1052"/>
        <s v="POL1053"/>
        <s v="POL1054"/>
        <s v="POL1055"/>
        <s v="POL1056"/>
        <s v="POL1057"/>
        <s v="POL1058"/>
        <s v="POL1059"/>
        <s v="POL1060"/>
        <s v="POL1061"/>
        <s v="POL1062"/>
        <s v="POL1063"/>
        <s v="POL1064"/>
        <s v="POL1065"/>
        <s v="POL1066"/>
        <s v="POL1067"/>
        <s v="POL1068"/>
        <s v="POL1069"/>
        <s v="POL1070"/>
        <s v="POL1071"/>
        <s v="POL1072"/>
        <s v="POL1073"/>
        <s v="POL1074"/>
        <s v="POL1075"/>
        <s v="POL1076"/>
        <s v="POL1077"/>
        <s v="POL1078"/>
        <s v="POL1079"/>
        <s v="POL1080"/>
        <s v="POL1081"/>
        <s v="POL1082"/>
        <s v="POL1083"/>
        <s v="POL1084"/>
        <s v="POL1085"/>
        <s v="POL1086"/>
        <s v="POL1087"/>
        <s v="POL1088"/>
        <s v="POL1089"/>
        <s v="POL1090"/>
        <s v="POL1091"/>
        <s v="POL1092"/>
        <s v="POL1093"/>
        <s v="POL1094"/>
        <s v="POL1095"/>
        <s v="POL1096"/>
        <s v="POL1097"/>
        <s v="POL1098"/>
        <s v="POL1099"/>
        <s v="POL1100"/>
        <s v="POL1101"/>
        <s v="POL1102"/>
        <s v="POL1103"/>
        <s v="POL1104"/>
        <s v="POL1105"/>
        <s v="POL1106"/>
        <s v="POL1107"/>
        <s v="POL1108"/>
        <s v="POL1109"/>
        <s v="POL1110"/>
        <s v="POL1111"/>
        <s v="POL1112"/>
        <s v="POL1113"/>
        <s v="POL1114"/>
        <s v="POL1115"/>
        <s v="POL1116"/>
        <s v="POL1117"/>
        <s v="POL1118"/>
        <s v="POL1119"/>
        <s v="POL1120"/>
        <s v="POL1121"/>
        <s v="POL1122"/>
        <s v="POL1123"/>
        <s v="POL1124"/>
        <s v="POL1125"/>
        <s v="POL1126"/>
        <s v="POL1127"/>
        <s v="POL1128"/>
        <s v="POL1129"/>
        <s v="POL1130"/>
        <s v="POL1131"/>
        <s v="POL1132"/>
        <s v="POL1133"/>
        <s v="POL1134"/>
        <s v="POL1135"/>
        <s v="POL1136"/>
        <s v="POL1137"/>
        <s v="POL1138"/>
        <s v="POL1139"/>
        <s v="POL1140"/>
        <s v="POL1141"/>
        <s v="POL1142"/>
        <s v="POL1143"/>
        <s v="POL1144"/>
        <s v="POL1145"/>
        <s v="POL1146"/>
        <s v="POL1147"/>
        <s v="POL1148"/>
        <s v="POL1149"/>
        <s v="POL1150"/>
        <s v="POL1151"/>
        <s v="POL1152"/>
        <s v="POL1153"/>
        <s v="POL1154"/>
        <s v="POL1155"/>
        <s v="POL1156"/>
        <s v="POL1157"/>
        <s v="POL1158"/>
        <s v="POL1159"/>
        <s v="POL1160"/>
        <s v="POL1161"/>
        <s v="POL1162"/>
        <s v="POL1163"/>
        <s v="POL1164"/>
        <s v="POL1165"/>
        <s v="POL1166"/>
        <s v="POL1167"/>
        <s v="POL1168"/>
        <s v="POL1169"/>
        <s v="POL1170"/>
        <s v="POL1171"/>
        <s v="POL1172"/>
        <s v="POL1173"/>
        <s v="POL1174"/>
        <s v="POL1175"/>
        <s v="POL1176"/>
        <s v="POL1177"/>
        <s v="POL1178"/>
        <s v="POL1179"/>
        <s v="POL1180"/>
        <s v="POL1181"/>
        <s v="POL1182"/>
        <s v="POL1183"/>
        <s v="POL1184"/>
        <s v="POL1185"/>
        <s v="POL1186"/>
        <s v="POL1187"/>
        <s v="POL1188"/>
        <s v="POL1189"/>
        <s v="POL1190"/>
        <s v="POL1191"/>
        <s v="POL1192"/>
        <s v="POL1193"/>
        <s v="POL1194"/>
        <s v="POL1195"/>
        <s v="POL1196"/>
        <s v="POL1197"/>
        <s v="POL1198"/>
        <s v="POL1199"/>
        <s v="POL1200"/>
        <s v="POL1201"/>
        <s v="POL1202"/>
        <s v="POL1203"/>
        <s v="POL1204"/>
        <s v="POL1205"/>
        <s v="POL1206"/>
        <s v="POL1207"/>
        <s v="POL1208"/>
        <s v="POL1209"/>
        <s v="POL1210"/>
        <s v="POL1211"/>
        <s v="POL1212"/>
        <s v="POL1213"/>
        <s v="POL1214"/>
        <s v="POL1215"/>
        <s v="POL1216"/>
        <s v="POL1217"/>
        <s v="POL1218"/>
        <s v="POL1219"/>
        <s v="POL1220"/>
        <s v="POL1221"/>
        <s v="POL1222"/>
        <s v="POL1223"/>
        <s v="POL1224"/>
        <s v="POL1225"/>
        <s v="POL1226"/>
        <s v="POL1227"/>
        <s v="POL1228"/>
        <s v="POL1229"/>
        <s v="POL1230"/>
        <s v="POL1231"/>
        <s v="POL1232"/>
        <s v="POL1233"/>
        <s v="POL1234"/>
        <s v="POL1235"/>
        <s v="POL1236"/>
        <s v="POL1237"/>
        <s v="POL1238"/>
        <s v="POL1239"/>
        <s v="POL1240"/>
        <s v="POL1241"/>
        <s v="POL1242"/>
        <s v="POL1243"/>
        <s v="POL1244"/>
        <s v="POL1245"/>
        <s v="POL1246"/>
        <s v="POL1247"/>
        <s v="POL1248"/>
        <s v="POL1249"/>
        <s v="POL1250"/>
        <s v="POL1251"/>
        <s v="POL1252"/>
        <s v="POL1253"/>
        <s v="POL1254"/>
        <s v="POL1255"/>
        <s v="POL1256"/>
        <s v="POL1257"/>
        <s v="POL1258"/>
        <s v="POL1259"/>
        <s v="POL1260"/>
        <s v="POL1261"/>
        <s v="POL1262"/>
        <s v="POL1263"/>
        <s v="POL1264"/>
        <s v="POL1265"/>
        <s v="POL1266"/>
        <s v="POL1267"/>
        <s v="POL1268"/>
        <s v="POL1269"/>
        <s v="POL1270"/>
        <s v="POL1271"/>
        <s v="POL1272"/>
        <s v="POL1273"/>
        <s v="POL1274"/>
        <s v="POL1275"/>
        <s v="POL1276"/>
        <s v="POL1277"/>
        <s v="POL1278"/>
        <s v="POL1279"/>
        <s v="POL1280"/>
        <s v="POL1281"/>
        <s v="POL1282"/>
        <s v="POL1283"/>
        <s v="POL1284"/>
        <s v="POL1285"/>
        <s v="POL1286"/>
        <s v="POL1287"/>
        <s v="POL1288"/>
        <s v="POL1289"/>
        <s v="POL1290"/>
        <s v="POL1291"/>
        <s v="POL1292"/>
        <s v="POL1293"/>
        <s v="POL1294"/>
        <s v="POL1295"/>
        <s v="POL1296"/>
        <s v="POL1297"/>
        <s v="POL1298"/>
        <s v="POL1299"/>
        <s v="POL1300"/>
        <s v="POL1301"/>
        <s v="POL1302"/>
        <s v="POL1303"/>
        <s v="POL1304"/>
        <s v="POL1305"/>
        <s v="POL1306"/>
        <s v="POL1307"/>
        <s v="POL1308"/>
        <s v="POL1309"/>
        <s v="POL1310"/>
        <s v="POL1311"/>
        <s v="POL1312"/>
        <s v="POL1313"/>
        <s v="POL1314"/>
        <s v="POL1315"/>
        <s v="POL1316"/>
        <s v="POL1317"/>
        <s v="POL1318"/>
        <s v="POL1319"/>
        <s v="POL1320"/>
        <s v="POL1321"/>
        <s v="POL1322"/>
        <s v="POL1323"/>
        <s v="POL1324"/>
        <s v="POL1325"/>
        <s v="POL1326"/>
        <s v="POL1327"/>
        <s v="POL1328"/>
        <s v="POL1329"/>
        <s v="POL1330"/>
        <s v="POL1331"/>
        <s v="POL1332"/>
        <s v="POL1333"/>
        <s v="POL1334"/>
        <s v="POL1335"/>
        <s v="POL1336"/>
        <s v="POL1337"/>
        <s v="POL1338"/>
        <s v="POL1339"/>
        <s v="POL1340"/>
        <s v="POL1341"/>
        <s v="POL1342"/>
        <s v="POL1343"/>
        <s v="POL1344"/>
        <s v="POL1345"/>
        <s v="POL1346"/>
        <s v="POL1347"/>
        <s v="POL1348"/>
        <s v="POL1349"/>
        <s v="POL1350"/>
        <s v="POL1351"/>
        <s v="POL1352"/>
        <s v="POL1353"/>
        <s v="POL1354"/>
        <s v="POL1355"/>
        <s v="POL1356"/>
        <s v="POL1357"/>
        <s v="POL1358"/>
        <s v="POL1359"/>
        <s v="POL1360"/>
        <s v="POL1361"/>
        <s v="POL1362"/>
        <s v="POL1363"/>
        <s v="POL1364"/>
        <s v="POL1365"/>
        <s v="POL1366"/>
        <s v="POL1367"/>
        <s v="POL1368"/>
        <s v="POL1369"/>
        <s v="POL1370"/>
        <s v="POL1371"/>
        <s v="POL1372"/>
        <s v="POL1373"/>
        <s v="POL1374"/>
        <s v="POL1375"/>
        <s v="POL1376"/>
        <s v="POL1377"/>
        <s v="POL1378"/>
        <s v="POL1379"/>
        <s v="POL1380"/>
        <s v="POL1381"/>
        <s v="POL1382"/>
        <s v="POL1383"/>
        <s v="POL1384"/>
        <s v="POL1385"/>
        <s v="POL1386"/>
        <s v="POL1387"/>
        <s v="POL1388"/>
        <s v="POL1389"/>
        <s v="POL1390"/>
        <s v="POL1391"/>
        <s v="POL1392"/>
        <s v="POL1393"/>
        <s v="POL1394"/>
        <s v="POL1395"/>
        <s v="POL1396"/>
        <s v="POL1397"/>
        <s v="POL1398"/>
        <s v="POL1399"/>
        <s v="POL1400"/>
        <s v="POL1401"/>
        <s v="POL1402"/>
        <s v="POL1403"/>
        <s v="POL1404"/>
        <s v="POL1405"/>
        <s v="POL1406"/>
        <s v="POL1407"/>
        <s v="POL1408"/>
        <s v="POL1409"/>
        <s v="POL1410"/>
        <s v="POL1411"/>
        <s v="POL1412"/>
        <s v="POL1413"/>
        <s v="POL1414"/>
        <s v="POL1415"/>
        <s v="POL1416"/>
        <s v="POL1417"/>
        <s v="POL1418"/>
        <s v="POL1419"/>
        <s v="POL1420"/>
        <s v="POL1421"/>
        <s v="POL1422"/>
        <s v="POL1423"/>
        <s v="POL1424"/>
        <s v="POL1425"/>
        <s v="POL1426"/>
        <s v="POL1427"/>
        <s v="POL1428"/>
        <s v="POL1429"/>
        <s v="POL1430"/>
        <s v="POL1431"/>
        <s v="POL1432"/>
        <s v="POL1433"/>
        <s v="POL1434"/>
        <s v="POL1435"/>
        <s v="POL1436"/>
        <s v="POL1437"/>
        <s v="POL1438"/>
        <s v="POL1439"/>
        <s v="POL1440"/>
        <s v="POL1441"/>
        <s v="POL1442"/>
        <s v="POL1443"/>
        <s v="POL1444"/>
        <s v="POL1445"/>
        <s v="POL1446"/>
        <s v="POL1447"/>
        <s v="POL1448"/>
        <s v="POL1449"/>
        <s v="POL1450"/>
        <s v="POL1451"/>
        <s v="POL1452"/>
        <s v="POL1453"/>
        <s v="POL1454"/>
        <s v="POL1455"/>
        <s v="POL1456"/>
        <s v="POL1457"/>
        <s v="POL1458"/>
        <s v="POL1459"/>
        <s v="POL1460"/>
        <s v="POL1461"/>
        <s v="POL1462"/>
        <s v="POL1463"/>
        <s v="POL1464"/>
        <s v="POL1465"/>
        <s v="POL1466"/>
        <s v="POL1467"/>
        <s v="POL1468"/>
        <s v="POL1469"/>
        <s v="POL1470"/>
        <s v="POL1471"/>
        <s v="POL1472"/>
        <s v="POL1473"/>
        <s v="POL1474"/>
        <s v="POL1475"/>
        <s v="POL1476"/>
        <s v="POL1477"/>
        <s v="POL1478"/>
        <s v="POL1479"/>
        <s v="POL1480"/>
        <s v="POL1481"/>
        <s v="POL1482"/>
        <s v="POL1483"/>
        <s v="POL1484"/>
        <s v="POL1485"/>
        <s v="POL1486"/>
        <s v="POL1487"/>
        <s v="POL1488"/>
        <s v="POL1489"/>
        <s v="POL1490"/>
        <s v="POL1491"/>
        <s v="POL1492"/>
        <s v="POL1493"/>
        <s v="POL1494"/>
        <s v="POL1495"/>
        <s v="POL1496"/>
        <s v="POL1497"/>
        <s v="POL1498"/>
        <s v="POL1499"/>
      </sharedItems>
    </cacheField>
    <cacheField name="Customer_Name" numFmtId="0">
      <sharedItems count="500">
        <s v="Customer_1"/>
        <s v="Customer_2"/>
        <s v="Customer_3"/>
        <s v="Customer_4"/>
        <s v="Customer_5"/>
        <s v="Customer_6"/>
        <s v="Customer_7"/>
        <s v="Customer_8"/>
        <s v="Customer_9"/>
        <s v="Customer_10"/>
        <s v="Customer_11"/>
        <s v="Customer_12"/>
        <s v="Customer_13"/>
        <s v="Customer_14"/>
        <s v="Customer_15"/>
        <s v="Customer_16"/>
        <s v="Customer_17"/>
        <s v="Customer_18"/>
        <s v="Customer_19"/>
        <s v="Customer_20"/>
        <s v="Customer_21"/>
        <s v="Customer_22"/>
        <s v="Customer_23"/>
        <s v="Customer_24"/>
        <s v="Customer_25"/>
        <s v="Customer_26"/>
        <s v="Customer_27"/>
        <s v="Customer_28"/>
        <s v="Customer_29"/>
        <s v="Customer_30"/>
        <s v="Customer_31"/>
        <s v="Customer_32"/>
        <s v="Customer_33"/>
        <s v="Customer_34"/>
        <s v="Customer_35"/>
        <s v="Customer_36"/>
        <s v="Customer_37"/>
        <s v="Customer_38"/>
        <s v="Customer_39"/>
        <s v="Customer_40"/>
        <s v="Customer_41"/>
        <s v="Customer_42"/>
        <s v="Customer_43"/>
        <s v="Customer_44"/>
        <s v="Customer_45"/>
        <s v="Customer_46"/>
        <s v="Customer_47"/>
        <s v="Customer_48"/>
        <s v="Customer_49"/>
        <s v="Customer_50"/>
        <s v="Customer_51"/>
        <s v="Customer_52"/>
        <s v="Customer_53"/>
        <s v="Customer_54"/>
        <s v="Customer_55"/>
        <s v="Customer_56"/>
        <s v="Customer_57"/>
        <s v="Customer_58"/>
        <s v="Customer_59"/>
        <s v="Customer_60"/>
        <s v="Customer_61"/>
        <s v="Customer_62"/>
        <s v="Customer_63"/>
        <s v="Customer_64"/>
        <s v="Customer_65"/>
        <s v="Customer_66"/>
        <s v="Customer_67"/>
        <s v="Customer_68"/>
        <s v="Customer_69"/>
        <s v="Customer_70"/>
        <s v="Customer_71"/>
        <s v="Customer_72"/>
        <s v="Customer_73"/>
        <s v="Customer_74"/>
        <s v="Customer_75"/>
        <s v="Customer_76"/>
        <s v="Customer_77"/>
        <s v="Customer_78"/>
        <s v="Customer_79"/>
        <s v="Customer_80"/>
        <s v="Customer_81"/>
        <s v="Customer_82"/>
        <s v="Customer_83"/>
        <s v="Customer_84"/>
        <s v="Customer_85"/>
        <s v="Customer_86"/>
        <s v="Customer_87"/>
        <s v="Customer_88"/>
        <s v="Customer_89"/>
        <s v="Customer_90"/>
        <s v="Customer_91"/>
        <s v="Customer_92"/>
        <s v="Customer_93"/>
        <s v="Customer_94"/>
        <s v="Customer_95"/>
        <s v="Customer_96"/>
        <s v="Customer_97"/>
        <s v="Customer_98"/>
        <s v="Customer_99"/>
        <s v="Customer_100"/>
        <s v="Customer_101"/>
        <s v="Customer_102"/>
        <s v="Customer_103"/>
        <s v="Customer_104"/>
        <s v="Customer_105"/>
        <s v="Customer_106"/>
        <s v="Customer_107"/>
        <s v="Customer_108"/>
        <s v="Customer_109"/>
        <s v="Customer_110"/>
        <s v="Customer_111"/>
        <s v="Customer_112"/>
        <s v="Customer_113"/>
        <s v="Customer_114"/>
        <s v="Customer_115"/>
        <s v="Customer_116"/>
        <s v="Customer_117"/>
        <s v="Customer_118"/>
        <s v="Customer_119"/>
        <s v="Customer_120"/>
        <s v="Customer_121"/>
        <s v="Customer_122"/>
        <s v="Customer_123"/>
        <s v="Customer_124"/>
        <s v="Customer_125"/>
        <s v="Customer_126"/>
        <s v="Customer_127"/>
        <s v="Customer_128"/>
        <s v="Customer_129"/>
        <s v="Customer_130"/>
        <s v="Customer_131"/>
        <s v="Customer_132"/>
        <s v="Customer_133"/>
        <s v="Customer_134"/>
        <s v="Customer_135"/>
        <s v="Customer_136"/>
        <s v="Customer_137"/>
        <s v="Customer_138"/>
        <s v="Customer_139"/>
        <s v="Customer_140"/>
        <s v="Customer_141"/>
        <s v="Customer_142"/>
        <s v="Customer_143"/>
        <s v="Customer_144"/>
        <s v="Customer_145"/>
        <s v="Customer_146"/>
        <s v="Customer_147"/>
        <s v="Customer_148"/>
        <s v="Customer_149"/>
        <s v="Customer_150"/>
        <s v="Customer_151"/>
        <s v="Customer_152"/>
        <s v="Customer_153"/>
        <s v="Customer_154"/>
        <s v="Customer_155"/>
        <s v="Customer_156"/>
        <s v="Customer_157"/>
        <s v="Customer_158"/>
        <s v="Customer_159"/>
        <s v="Customer_160"/>
        <s v="Customer_161"/>
        <s v="Customer_162"/>
        <s v="Customer_163"/>
        <s v="Customer_164"/>
        <s v="Customer_165"/>
        <s v="Customer_166"/>
        <s v="Customer_167"/>
        <s v="Customer_168"/>
        <s v="Customer_169"/>
        <s v="Customer_170"/>
        <s v="Customer_171"/>
        <s v="Customer_172"/>
        <s v="Customer_173"/>
        <s v="Customer_174"/>
        <s v="Customer_175"/>
        <s v="Customer_176"/>
        <s v="Customer_177"/>
        <s v="Customer_178"/>
        <s v="Customer_179"/>
        <s v="Customer_180"/>
        <s v="Customer_181"/>
        <s v="Customer_182"/>
        <s v="Customer_183"/>
        <s v="Customer_184"/>
        <s v="Customer_185"/>
        <s v="Customer_186"/>
        <s v="Customer_187"/>
        <s v="Customer_188"/>
        <s v="Customer_189"/>
        <s v="Customer_190"/>
        <s v="Customer_191"/>
        <s v="Customer_192"/>
        <s v="Customer_193"/>
        <s v="Customer_194"/>
        <s v="Customer_195"/>
        <s v="Customer_196"/>
        <s v="Customer_197"/>
        <s v="Customer_198"/>
        <s v="Customer_199"/>
        <s v="Customer_200"/>
        <s v="Customer_201"/>
        <s v="Customer_202"/>
        <s v="Customer_203"/>
        <s v="Customer_204"/>
        <s v="Customer_205"/>
        <s v="Customer_206"/>
        <s v="Customer_207"/>
        <s v="Customer_208"/>
        <s v="Customer_209"/>
        <s v="Customer_210"/>
        <s v="Customer_211"/>
        <s v="Customer_212"/>
        <s v="Customer_213"/>
        <s v="Customer_214"/>
        <s v="Customer_215"/>
        <s v="Customer_216"/>
        <s v="Customer_217"/>
        <s v="Customer_218"/>
        <s v="Customer_219"/>
        <s v="Customer_220"/>
        <s v="Customer_221"/>
        <s v="Customer_222"/>
        <s v="Customer_223"/>
        <s v="Customer_224"/>
        <s v="Customer_225"/>
        <s v="Customer_226"/>
        <s v="Customer_227"/>
        <s v="Customer_228"/>
        <s v="Customer_229"/>
        <s v="Customer_230"/>
        <s v="Customer_231"/>
        <s v="Customer_232"/>
        <s v="Customer_233"/>
        <s v="Customer_234"/>
        <s v="Customer_235"/>
        <s v="Customer_236"/>
        <s v="Customer_237"/>
        <s v="Customer_238"/>
        <s v="Customer_239"/>
        <s v="Customer_240"/>
        <s v="Customer_241"/>
        <s v="Customer_242"/>
        <s v="Customer_243"/>
        <s v="Customer_244"/>
        <s v="Customer_245"/>
        <s v="Customer_246"/>
        <s v="Customer_247"/>
        <s v="Customer_248"/>
        <s v="Customer_249"/>
        <s v="Customer_250"/>
        <s v="Customer_251"/>
        <s v="Customer_252"/>
        <s v="Customer_253"/>
        <s v="Customer_254"/>
        <s v="Customer_255"/>
        <s v="Customer_256"/>
        <s v="Customer_257"/>
        <s v="Customer_258"/>
        <s v="Customer_259"/>
        <s v="Customer_260"/>
        <s v="Customer_261"/>
        <s v="Customer_262"/>
        <s v="Customer_263"/>
        <s v="Customer_264"/>
        <s v="Customer_265"/>
        <s v="Customer_266"/>
        <s v="Customer_267"/>
        <s v="Customer_268"/>
        <s v="Customer_269"/>
        <s v="Customer_270"/>
        <s v="Customer_271"/>
        <s v="Customer_272"/>
        <s v="Customer_273"/>
        <s v="Customer_274"/>
        <s v="Customer_275"/>
        <s v="Customer_276"/>
        <s v="Customer_277"/>
        <s v="Customer_278"/>
        <s v="Customer_279"/>
        <s v="Customer_280"/>
        <s v="Customer_281"/>
        <s v="Customer_282"/>
        <s v="Customer_283"/>
        <s v="Customer_284"/>
        <s v="Customer_285"/>
        <s v="Customer_286"/>
        <s v="Customer_287"/>
        <s v="Customer_288"/>
        <s v="Customer_289"/>
        <s v="Customer_290"/>
        <s v="Customer_291"/>
        <s v="Customer_292"/>
        <s v="Customer_293"/>
        <s v="Customer_294"/>
        <s v="Customer_295"/>
        <s v="Customer_296"/>
        <s v="Customer_297"/>
        <s v="Customer_298"/>
        <s v="Customer_299"/>
        <s v="Customer_300"/>
        <s v="Customer_301"/>
        <s v="Customer_302"/>
        <s v="Customer_303"/>
        <s v="Customer_304"/>
        <s v="Customer_305"/>
        <s v="Customer_306"/>
        <s v="Customer_307"/>
        <s v="Customer_308"/>
        <s v="Customer_309"/>
        <s v="Customer_310"/>
        <s v="Customer_311"/>
        <s v="Customer_312"/>
        <s v="Customer_313"/>
        <s v="Customer_314"/>
        <s v="Customer_315"/>
        <s v="Customer_316"/>
        <s v="Customer_317"/>
        <s v="Customer_318"/>
        <s v="Customer_319"/>
        <s v="Customer_320"/>
        <s v="Customer_321"/>
        <s v="Customer_322"/>
        <s v="Customer_323"/>
        <s v="Customer_324"/>
        <s v="Customer_325"/>
        <s v="Customer_326"/>
        <s v="Customer_327"/>
        <s v="Customer_328"/>
        <s v="Customer_329"/>
        <s v="Customer_330"/>
        <s v="Customer_331"/>
        <s v="Customer_332"/>
        <s v="Customer_333"/>
        <s v="Customer_334"/>
        <s v="Customer_335"/>
        <s v="Customer_336"/>
        <s v="Customer_337"/>
        <s v="Customer_338"/>
        <s v="Customer_339"/>
        <s v="Customer_340"/>
        <s v="Customer_341"/>
        <s v="Customer_342"/>
        <s v="Customer_343"/>
        <s v="Customer_344"/>
        <s v="Customer_345"/>
        <s v="Customer_346"/>
        <s v="Customer_347"/>
        <s v="Customer_348"/>
        <s v="Customer_349"/>
        <s v="Customer_350"/>
        <s v="Customer_351"/>
        <s v="Customer_352"/>
        <s v="Customer_353"/>
        <s v="Customer_354"/>
        <s v="Customer_355"/>
        <s v="Customer_356"/>
        <s v="Customer_357"/>
        <s v="Customer_358"/>
        <s v="Customer_359"/>
        <s v="Customer_360"/>
        <s v="Customer_361"/>
        <s v="Customer_362"/>
        <s v="Customer_363"/>
        <s v="Customer_364"/>
        <s v="Customer_365"/>
        <s v="Customer_366"/>
        <s v="Customer_367"/>
        <s v="Customer_368"/>
        <s v="Customer_369"/>
        <s v="Customer_370"/>
        <s v="Customer_371"/>
        <s v="Customer_372"/>
        <s v="Customer_373"/>
        <s v="Customer_374"/>
        <s v="Customer_375"/>
        <s v="Customer_376"/>
        <s v="Customer_377"/>
        <s v="Customer_378"/>
        <s v="Customer_379"/>
        <s v="Customer_380"/>
        <s v="Customer_381"/>
        <s v="Customer_382"/>
        <s v="Customer_383"/>
        <s v="Customer_384"/>
        <s v="Customer_385"/>
        <s v="Customer_386"/>
        <s v="Customer_387"/>
        <s v="Customer_388"/>
        <s v="Customer_389"/>
        <s v="Customer_390"/>
        <s v="Customer_391"/>
        <s v="Customer_392"/>
        <s v="Customer_393"/>
        <s v="Customer_394"/>
        <s v="Customer_395"/>
        <s v="Customer_396"/>
        <s v="Customer_397"/>
        <s v="Customer_398"/>
        <s v="Customer_399"/>
        <s v="Customer_400"/>
        <s v="Customer_401"/>
        <s v="Customer_402"/>
        <s v="Customer_403"/>
        <s v="Customer_404"/>
        <s v="Customer_405"/>
        <s v="Customer_406"/>
        <s v="Customer_407"/>
        <s v="Customer_408"/>
        <s v="Customer_409"/>
        <s v="Customer_410"/>
        <s v="Customer_411"/>
        <s v="Customer_412"/>
        <s v="Customer_413"/>
        <s v="Customer_414"/>
        <s v="Customer_415"/>
        <s v="Customer_416"/>
        <s v="Customer_417"/>
        <s v="Customer_418"/>
        <s v="Customer_419"/>
        <s v="Customer_420"/>
        <s v="Customer_421"/>
        <s v="Customer_422"/>
        <s v="Customer_423"/>
        <s v="Customer_424"/>
        <s v="Customer_425"/>
        <s v="Customer_426"/>
        <s v="Customer_427"/>
        <s v="Customer_428"/>
        <s v="Customer_429"/>
        <s v="Customer_430"/>
        <s v="Customer_431"/>
        <s v="Customer_432"/>
        <s v="Customer_433"/>
        <s v="Customer_434"/>
        <s v="Customer_435"/>
        <s v="Customer_436"/>
        <s v="Customer_437"/>
        <s v="Customer_438"/>
        <s v="Customer_439"/>
        <s v="Customer_440"/>
        <s v="Customer_441"/>
        <s v="Customer_442"/>
        <s v="Customer_443"/>
        <s v="Customer_444"/>
        <s v="Customer_445"/>
        <s v="Customer_446"/>
        <s v="Customer_447"/>
        <s v="Customer_448"/>
        <s v="Customer_449"/>
        <s v="Customer_450"/>
        <s v="Customer_451"/>
        <s v="Customer_452"/>
        <s v="Customer_453"/>
        <s v="Customer_454"/>
        <s v="Customer_455"/>
        <s v="Customer_456"/>
        <s v="Customer_457"/>
        <s v="Customer_458"/>
        <s v="Customer_459"/>
        <s v="Customer_460"/>
        <s v="Customer_461"/>
        <s v="Customer_462"/>
        <s v="Customer_463"/>
        <s v="Customer_464"/>
        <s v="Customer_465"/>
        <s v="Customer_466"/>
        <s v="Customer_467"/>
        <s v="Customer_468"/>
        <s v="Customer_469"/>
        <s v="Customer_470"/>
        <s v="Customer_471"/>
        <s v="Customer_472"/>
        <s v="Customer_473"/>
        <s v="Customer_474"/>
        <s v="Customer_475"/>
        <s v="Customer_476"/>
        <s v="Customer_477"/>
        <s v="Customer_478"/>
        <s v="Customer_479"/>
        <s v="Customer_480"/>
        <s v="Customer_481"/>
        <s v="Customer_482"/>
        <s v="Customer_483"/>
        <s v="Customer_484"/>
        <s v="Customer_485"/>
        <s v="Customer_486"/>
        <s v="Customer_487"/>
        <s v="Customer_488"/>
        <s v="Customer_489"/>
        <s v="Customer_490"/>
        <s v="Customer_491"/>
        <s v="Customer_492"/>
        <s v="Customer_493"/>
        <s v="Customer_494"/>
        <s v="Customer_495"/>
        <s v="Customer_496"/>
        <s v="Customer_497"/>
        <s v="Customer_498"/>
        <s v="Customer_499"/>
        <s v="Customer_500"/>
      </sharedItems>
    </cacheField>
    <cacheField name="Policy_Type" numFmtId="0">
      <sharedItems count="4">
        <s v="Life"/>
        <s v="Travel"/>
        <s v="Health"/>
        <s v="Motor"/>
      </sharedItems>
    </cacheField>
    <cacheField name="Region" numFmtId="0">
      <sharedItems count="5">
        <s v="Chennai"/>
        <s v="Pune"/>
        <s v="Delhi"/>
        <s v="Mumbai"/>
        <s v="Bangalore"/>
      </sharedItems>
    </cacheField>
    <cacheField name="Claim_Amount" numFmtId="168">
      <sharedItems containsSemiMixedTypes="0" containsString="0" containsNumber="1" containsInteger="1" minValue="2077" maxValue="99945"/>
    </cacheField>
    <cacheField name="Approved_Amount" numFmtId="168">
      <sharedItems containsSemiMixedTypes="0" containsString="0" containsNumber="1" minValue="0" maxValue="98623.096601434227"/>
    </cacheField>
    <cacheField name="Claim_Status" numFmtId="0">
      <sharedItems/>
    </cacheField>
    <cacheField name="Claim_Date" numFmtId="14">
      <sharedItems containsSemiMixedTypes="0" containsNonDate="0" containsDate="1" containsString="0" minDate="2024-01-01T00:00:00" maxDate="2024-10-28T00:00:00"/>
    </cacheField>
    <cacheField name="Policy_Start_Date" numFmtId="14">
      <sharedItems containsSemiMixedTypes="0" containsNonDate="0" containsDate="1" containsString="0" minDate="2023-01-02T00:00:00" maxDate="2024-01-01T00:00:00"/>
    </cacheField>
    <cacheField name="Policy_End_Date" numFmtId="14">
      <sharedItems containsSemiMixedTypes="0" containsNonDate="0" containsDate="1" containsString="0" minDate="2024-01-01T00:00:00" maxDate="2025-01-01T00:00:00"/>
    </cacheField>
    <cacheField name="Gender" numFmtId="0">
      <sharedItems count="2">
        <s v="M"/>
        <s v="F"/>
      </sharedItems>
    </cacheField>
    <cacheField name="Age" numFmtId="0">
      <sharedItems containsSemiMixedTypes="0" containsString="0" containsNumber="1" containsInteger="1" minValue="20" maxValue="69"/>
    </cacheField>
    <cacheField name="Premium_Amount" numFmtId="168">
      <sharedItems containsSemiMixedTypes="0" containsString="0" containsNumber="1" containsInteger="1" minValue="2018" maxValue="149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x v="0"/>
    <x v="0"/>
    <x v="0"/>
    <n v="37854"/>
    <n v="35877.021703930273"/>
    <s v="Pending"/>
    <d v="2024-07-23T00:00:00"/>
    <d v="2023-05-06T00:00:00"/>
    <d v="2024-12-25T00:00:00"/>
    <x v="0"/>
    <n v="38"/>
    <n v="12827"/>
  </r>
  <r>
    <x v="1"/>
    <x v="1"/>
    <x v="1"/>
    <x v="0"/>
    <n v="48271"/>
    <n v="36123.724027556767"/>
    <s v="Approved"/>
    <d v="2024-10-21T00:00:00"/>
    <d v="2023-07-01T00:00:00"/>
    <d v="2024-01-20T00:00:00"/>
    <x v="1"/>
    <n v="57"/>
    <n v="12521"/>
  </r>
  <r>
    <x v="2"/>
    <x v="2"/>
    <x v="2"/>
    <x v="1"/>
    <n v="75688"/>
    <n v="29528.10433953617"/>
    <s v="Approved"/>
    <d v="2024-05-15T00:00:00"/>
    <d v="2023-01-29T00:00:00"/>
    <d v="2024-07-15T00:00:00"/>
    <x v="0"/>
    <n v="35"/>
    <n v="14146"/>
  </r>
  <r>
    <x v="3"/>
    <x v="3"/>
    <x v="0"/>
    <x v="2"/>
    <n v="40518"/>
    <n v="3489.0602496926122"/>
    <s v="Approved"/>
    <d v="2024-08-07T00:00:00"/>
    <d v="2023-11-22T00:00:00"/>
    <d v="2024-04-08T00:00:00"/>
    <x v="0"/>
    <n v="21"/>
    <n v="12642"/>
  </r>
  <r>
    <x v="4"/>
    <x v="4"/>
    <x v="0"/>
    <x v="3"/>
    <n v="12267"/>
    <n v="13445.754566960541"/>
    <s v="Approved"/>
    <d v="2024-09-09T00:00:00"/>
    <d v="2023-03-28T00:00:00"/>
    <d v="2024-04-06T00:00:00"/>
    <x v="0"/>
    <n v="59"/>
    <n v="3132"/>
  </r>
  <r>
    <x v="5"/>
    <x v="5"/>
    <x v="1"/>
    <x v="1"/>
    <n v="92825"/>
    <n v="0"/>
    <s v="Approved"/>
    <d v="2024-07-09T00:00:00"/>
    <d v="2023-03-10T00:00:00"/>
    <d v="2024-06-08T00:00:00"/>
    <x v="0"/>
    <n v="36"/>
    <n v="2699"/>
  </r>
  <r>
    <x v="6"/>
    <x v="6"/>
    <x v="2"/>
    <x v="3"/>
    <n v="3062"/>
    <n v="28811.975269512888"/>
    <s v="Pending"/>
    <d v="2024-08-02T00:00:00"/>
    <d v="2023-11-28T00:00:00"/>
    <d v="2024-02-23T00:00:00"/>
    <x v="1"/>
    <n v="53"/>
    <n v="9470"/>
  </r>
  <r>
    <x v="7"/>
    <x v="7"/>
    <x v="2"/>
    <x v="3"/>
    <n v="52448"/>
    <n v="50886.149575036106"/>
    <s v="Approved"/>
    <d v="2024-06-02T00:00:00"/>
    <d v="2023-12-18T00:00:00"/>
    <d v="2024-06-02T00:00:00"/>
    <x v="0"/>
    <n v="61"/>
    <n v="12230"/>
  </r>
  <r>
    <x v="8"/>
    <x v="8"/>
    <x v="0"/>
    <x v="2"/>
    <n v="97462"/>
    <n v="27965.397837492899"/>
    <s v="Approved"/>
    <d v="2024-05-12T00:00:00"/>
    <d v="2023-10-14T00:00:00"/>
    <d v="2024-03-28T00:00:00"/>
    <x v="0"/>
    <n v="35"/>
    <n v="8297"/>
  </r>
  <r>
    <x v="9"/>
    <x v="9"/>
    <x v="3"/>
    <x v="3"/>
    <n v="8229"/>
    <n v="1094.907939561258"/>
    <s v="Approved"/>
    <d v="2024-07-10T00:00:00"/>
    <d v="2023-12-30T00:00:00"/>
    <d v="2024-07-09T00:00:00"/>
    <x v="0"/>
    <n v="57"/>
    <n v="14839"/>
  </r>
  <r>
    <x v="10"/>
    <x v="10"/>
    <x v="0"/>
    <x v="3"/>
    <n v="58793"/>
    <n v="67553.770842831698"/>
    <s v="Rejected"/>
    <d v="2024-07-23T00:00:00"/>
    <d v="2023-06-01T00:00:00"/>
    <d v="2024-04-22T00:00:00"/>
    <x v="0"/>
    <n v="21"/>
    <n v="9812"/>
  </r>
  <r>
    <x v="11"/>
    <x v="11"/>
    <x v="0"/>
    <x v="2"/>
    <n v="49915"/>
    <n v="78639.144436682778"/>
    <s v="Approved"/>
    <d v="2024-02-04T00:00:00"/>
    <d v="2023-05-11T00:00:00"/>
    <d v="2024-02-09T00:00:00"/>
    <x v="0"/>
    <n v="21"/>
    <n v="14692"/>
  </r>
  <r>
    <x v="12"/>
    <x v="12"/>
    <x v="0"/>
    <x v="3"/>
    <n v="6632"/>
    <n v="57174.482835898227"/>
    <s v="Pending"/>
    <d v="2024-10-18T00:00:00"/>
    <d v="2023-12-14T00:00:00"/>
    <d v="2024-02-07T00:00:00"/>
    <x v="0"/>
    <n v="45"/>
    <n v="6557"/>
  </r>
  <r>
    <x v="13"/>
    <x v="13"/>
    <x v="0"/>
    <x v="3"/>
    <n v="5596"/>
    <n v="0"/>
    <s v="Approved"/>
    <d v="2024-08-23T00:00:00"/>
    <d v="2023-04-02T00:00:00"/>
    <d v="2024-03-04T00:00:00"/>
    <x v="0"/>
    <n v="32"/>
    <n v="4179"/>
  </r>
  <r>
    <x v="14"/>
    <x v="14"/>
    <x v="1"/>
    <x v="3"/>
    <n v="8168"/>
    <n v="0"/>
    <s v="Approved"/>
    <d v="2024-08-11T00:00:00"/>
    <d v="2023-12-13T00:00:00"/>
    <d v="2024-08-21T00:00:00"/>
    <x v="0"/>
    <n v="66"/>
    <n v="13030"/>
  </r>
  <r>
    <x v="15"/>
    <x v="15"/>
    <x v="2"/>
    <x v="1"/>
    <n v="9561"/>
    <n v="26886.02686213925"/>
    <s v="Approved"/>
    <d v="2024-06-03T00:00:00"/>
    <d v="2023-06-17T00:00:00"/>
    <d v="2024-07-08T00:00:00"/>
    <x v="1"/>
    <n v="50"/>
    <n v="11065"/>
  </r>
  <r>
    <x v="16"/>
    <x v="16"/>
    <x v="1"/>
    <x v="1"/>
    <n v="75794"/>
    <n v="29960.40890167265"/>
    <s v="Approved"/>
    <d v="2024-09-14T00:00:00"/>
    <d v="2023-06-23T00:00:00"/>
    <d v="2024-05-27T00:00:00"/>
    <x v="0"/>
    <n v="53"/>
    <n v="10275"/>
  </r>
  <r>
    <x v="17"/>
    <x v="17"/>
    <x v="1"/>
    <x v="1"/>
    <n v="84152"/>
    <n v="32029.450372575731"/>
    <s v="Approved"/>
    <d v="2024-05-19T00:00:00"/>
    <d v="2023-02-20T00:00:00"/>
    <d v="2024-12-02T00:00:00"/>
    <x v="1"/>
    <n v="58"/>
    <n v="3422"/>
  </r>
  <r>
    <x v="18"/>
    <x v="18"/>
    <x v="1"/>
    <x v="2"/>
    <n v="28734"/>
    <n v="51919.326073931283"/>
    <s v="Pending"/>
    <d v="2024-09-27T00:00:00"/>
    <d v="2023-06-08T00:00:00"/>
    <d v="2024-05-31T00:00:00"/>
    <x v="0"/>
    <n v="22"/>
    <n v="12867"/>
  </r>
  <r>
    <x v="19"/>
    <x v="19"/>
    <x v="0"/>
    <x v="0"/>
    <n v="8371"/>
    <n v="62562.256209692823"/>
    <s v="Approved"/>
    <d v="2024-02-29T00:00:00"/>
    <d v="2023-06-03T00:00:00"/>
    <d v="2024-10-12T00:00:00"/>
    <x v="0"/>
    <n v="27"/>
    <n v="5180"/>
  </r>
  <r>
    <x v="20"/>
    <x v="20"/>
    <x v="3"/>
    <x v="3"/>
    <n v="28069"/>
    <n v="86236.863477042425"/>
    <s v="Approved"/>
    <d v="2024-01-12T00:00:00"/>
    <d v="2023-04-26T00:00:00"/>
    <d v="2024-01-26T00:00:00"/>
    <x v="0"/>
    <n v="42"/>
    <n v="6316"/>
  </r>
  <r>
    <x v="21"/>
    <x v="21"/>
    <x v="2"/>
    <x v="3"/>
    <n v="81905"/>
    <n v="13424.89224514462"/>
    <s v="Approved"/>
    <d v="2024-09-19T00:00:00"/>
    <d v="2023-05-15T00:00:00"/>
    <d v="2024-12-12T00:00:00"/>
    <x v="0"/>
    <n v="33"/>
    <n v="14167"/>
  </r>
  <r>
    <x v="22"/>
    <x v="22"/>
    <x v="3"/>
    <x v="2"/>
    <n v="14910"/>
    <n v="71247.993144491367"/>
    <s v="Rejected"/>
    <d v="2024-06-24T00:00:00"/>
    <d v="2023-01-14T00:00:00"/>
    <d v="2024-04-11T00:00:00"/>
    <x v="1"/>
    <n v="46"/>
    <n v="8696"/>
  </r>
  <r>
    <x v="23"/>
    <x v="23"/>
    <x v="1"/>
    <x v="3"/>
    <n v="75479"/>
    <n v="19859.093891249959"/>
    <s v="Pending"/>
    <d v="2024-08-17T00:00:00"/>
    <d v="2023-08-23T00:00:00"/>
    <d v="2024-06-03T00:00:00"/>
    <x v="0"/>
    <n v="48"/>
    <n v="11583"/>
  </r>
  <r>
    <x v="24"/>
    <x v="24"/>
    <x v="1"/>
    <x v="1"/>
    <n v="79735"/>
    <n v="36379.148689301328"/>
    <s v="Approved"/>
    <d v="2024-06-11T00:00:00"/>
    <d v="2023-07-06T00:00:00"/>
    <d v="2024-08-05T00:00:00"/>
    <x v="0"/>
    <n v="58"/>
    <n v="13410"/>
  </r>
  <r>
    <x v="25"/>
    <x v="25"/>
    <x v="3"/>
    <x v="0"/>
    <n v="83264"/>
    <n v="69615.931536335585"/>
    <s v="Rejected"/>
    <d v="2024-08-07T00:00:00"/>
    <d v="2023-07-18T00:00:00"/>
    <d v="2024-12-28T00:00:00"/>
    <x v="1"/>
    <n v="58"/>
    <n v="14399"/>
  </r>
  <r>
    <x v="26"/>
    <x v="26"/>
    <x v="3"/>
    <x v="4"/>
    <n v="25275"/>
    <n v="44872.619602473773"/>
    <s v="Approved"/>
    <d v="2024-06-20T00:00:00"/>
    <d v="2023-06-17T00:00:00"/>
    <d v="2024-02-09T00:00:00"/>
    <x v="1"/>
    <n v="20"/>
    <n v="2614"/>
  </r>
  <r>
    <x v="27"/>
    <x v="27"/>
    <x v="3"/>
    <x v="3"/>
    <n v="74274"/>
    <n v="8138.5663967931787"/>
    <s v="Approved"/>
    <d v="2024-06-01T00:00:00"/>
    <d v="2023-05-07T00:00:00"/>
    <d v="2024-12-27T00:00:00"/>
    <x v="0"/>
    <n v="36"/>
    <n v="13163"/>
  </r>
  <r>
    <x v="28"/>
    <x v="28"/>
    <x v="1"/>
    <x v="1"/>
    <n v="83449"/>
    <n v="21677.78252393557"/>
    <s v="Pending"/>
    <d v="2024-02-21T00:00:00"/>
    <d v="2023-08-28T00:00:00"/>
    <d v="2024-12-28T00:00:00"/>
    <x v="1"/>
    <n v="60"/>
    <n v="13757"/>
  </r>
  <r>
    <x v="29"/>
    <x v="29"/>
    <x v="1"/>
    <x v="4"/>
    <n v="62004"/>
    <n v="12080.48150340463"/>
    <s v="Pending"/>
    <d v="2024-03-21T00:00:00"/>
    <d v="2023-12-21T00:00:00"/>
    <d v="2024-12-07T00:00:00"/>
    <x v="1"/>
    <n v="49"/>
    <n v="13768"/>
  </r>
  <r>
    <x v="30"/>
    <x v="30"/>
    <x v="2"/>
    <x v="0"/>
    <n v="64981"/>
    <n v="43107.760103193606"/>
    <s v="Approved"/>
    <d v="2024-06-20T00:00:00"/>
    <d v="2023-06-14T00:00:00"/>
    <d v="2024-10-26T00:00:00"/>
    <x v="1"/>
    <n v="32"/>
    <n v="6570"/>
  </r>
  <r>
    <x v="31"/>
    <x v="31"/>
    <x v="2"/>
    <x v="4"/>
    <n v="86659"/>
    <n v="20398.60956370816"/>
    <s v="Approved"/>
    <d v="2024-05-08T00:00:00"/>
    <d v="2023-07-06T00:00:00"/>
    <d v="2024-12-09T00:00:00"/>
    <x v="0"/>
    <n v="40"/>
    <n v="2270"/>
  </r>
  <r>
    <x v="32"/>
    <x v="32"/>
    <x v="1"/>
    <x v="1"/>
    <n v="56553"/>
    <n v="62925.559783550947"/>
    <s v="Approved"/>
    <d v="2024-06-11T00:00:00"/>
    <d v="2023-09-16T00:00:00"/>
    <d v="2024-09-06T00:00:00"/>
    <x v="0"/>
    <n v="38"/>
    <n v="14258"/>
  </r>
  <r>
    <x v="33"/>
    <x v="33"/>
    <x v="3"/>
    <x v="4"/>
    <n v="50447"/>
    <n v="0"/>
    <s v="Rejected"/>
    <d v="2024-08-31T00:00:00"/>
    <d v="2023-03-09T00:00:00"/>
    <d v="2024-11-16T00:00:00"/>
    <x v="0"/>
    <n v="38"/>
    <n v="4468"/>
  </r>
  <r>
    <x v="34"/>
    <x v="34"/>
    <x v="3"/>
    <x v="2"/>
    <n v="36529"/>
    <n v="0"/>
    <s v="Approved"/>
    <d v="2024-09-01T00:00:00"/>
    <d v="2023-12-18T00:00:00"/>
    <d v="2024-01-18T00:00:00"/>
    <x v="1"/>
    <n v="44"/>
    <n v="11582"/>
  </r>
  <r>
    <x v="35"/>
    <x v="35"/>
    <x v="2"/>
    <x v="4"/>
    <n v="77703"/>
    <n v="2753.8925944103589"/>
    <s v="Approved"/>
    <d v="2024-06-02T00:00:00"/>
    <d v="2023-01-27T00:00:00"/>
    <d v="2024-12-18T00:00:00"/>
    <x v="0"/>
    <n v="41"/>
    <n v="13546"/>
  </r>
  <r>
    <x v="36"/>
    <x v="36"/>
    <x v="1"/>
    <x v="3"/>
    <n v="78090"/>
    <n v="25765.577747857711"/>
    <s v="Approved"/>
    <d v="2024-09-15T00:00:00"/>
    <d v="2023-04-23T00:00:00"/>
    <d v="2024-12-05T00:00:00"/>
    <x v="1"/>
    <n v="50"/>
    <n v="14327"/>
  </r>
  <r>
    <x v="37"/>
    <x v="37"/>
    <x v="2"/>
    <x v="3"/>
    <n v="19260"/>
    <n v="61448.764448825234"/>
    <s v="Approved"/>
    <d v="2024-10-21T00:00:00"/>
    <d v="2023-11-30T00:00:00"/>
    <d v="2024-09-08T00:00:00"/>
    <x v="0"/>
    <n v="36"/>
    <n v="5607"/>
  </r>
  <r>
    <x v="38"/>
    <x v="38"/>
    <x v="2"/>
    <x v="2"/>
    <n v="5812"/>
    <n v="1350.7076881593091"/>
    <s v="Approved"/>
    <d v="2024-09-07T00:00:00"/>
    <d v="2023-01-31T00:00:00"/>
    <d v="2024-08-29T00:00:00"/>
    <x v="0"/>
    <n v="42"/>
    <n v="12775"/>
  </r>
  <r>
    <x v="39"/>
    <x v="39"/>
    <x v="0"/>
    <x v="1"/>
    <n v="30024"/>
    <n v="54951.086779542587"/>
    <s v="Rejected"/>
    <d v="2024-09-18T00:00:00"/>
    <d v="2023-09-11T00:00:00"/>
    <d v="2024-07-16T00:00:00"/>
    <x v="1"/>
    <n v="51"/>
    <n v="14265"/>
  </r>
  <r>
    <x v="40"/>
    <x v="40"/>
    <x v="0"/>
    <x v="3"/>
    <n v="60656"/>
    <n v="7724.1856270201579"/>
    <s v="Approved"/>
    <d v="2024-09-03T00:00:00"/>
    <d v="2023-12-12T00:00:00"/>
    <d v="2024-04-17T00:00:00"/>
    <x v="0"/>
    <n v="29"/>
    <n v="5075"/>
  </r>
  <r>
    <x v="41"/>
    <x v="41"/>
    <x v="0"/>
    <x v="0"/>
    <n v="29285"/>
    <n v="37867.541872948073"/>
    <s v="Approved"/>
    <d v="2024-08-01T00:00:00"/>
    <d v="2023-11-06T00:00:00"/>
    <d v="2024-08-17T00:00:00"/>
    <x v="1"/>
    <n v="29"/>
    <n v="14098"/>
  </r>
  <r>
    <x v="42"/>
    <x v="42"/>
    <x v="3"/>
    <x v="3"/>
    <n v="94436"/>
    <n v="8782.4501278935477"/>
    <s v="Approved"/>
    <d v="2024-02-24T00:00:00"/>
    <d v="2023-12-16T00:00:00"/>
    <d v="2024-11-25T00:00:00"/>
    <x v="1"/>
    <n v="55"/>
    <n v="2289"/>
  </r>
  <r>
    <x v="43"/>
    <x v="43"/>
    <x v="1"/>
    <x v="3"/>
    <n v="3605"/>
    <n v="3642.5619857235661"/>
    <s v="Pending"/>
    <d v="2024-07-25T00:00:00"/>
    <d v="2023-03-13T00:00:00"/>
    <d v="2024-10-13T00:00:00"/>
    <x v="0"/>
    <n v="27"/>
    <n v="10120"/>
  </r>
  <r>
    <x v="44"/>
    <x v="44"/>
    <x v="1"/>
    <x v="1"/>
    <n v="73158"/>
    <n v="0"/>
    <s v="Approved"/>
    <d v="2024-02-13T00:00:00"/>
    <d v="2023-10-26T00:00:00"/>
    <d v="2024-08-01T00:00:00"/>
    <x v="1"/>
    <n v="39"/>
    <n v="12672"/>
  </r>
  <r>
    <x v="45"/>
    <x v="45"/>
    <x v="1"/>
    <x v="4"/>
    <n v="74303"/>
    <n v="63693.563435641932"/>
    <s v="Approved"/>
    <d v="2024-09-10T00:00:00"/>
    <d v="2023-12-24T00:00:00"/>
    <d v="2024-06-01T00:00:00"/>
    <x v="0"/>
    <n v="51"/>
    <n v="8614"/>
  </r>
  <r>
    <x v="46"/>
    <x v="46"/>
    <x v="1"/>
    <x v="3"/>
    <n v="29139"/>
    <n v="52394.434834778949"/>
    <s v="Pending"/>
    <d v="2024-04-10T00:00:00"/>
    <d v="2023-08-04T00:00:00"/>
    <d v="2024-10-05T00:00:00"/>
    <x v="0"/>
    <n v="69"/>
    <n v="5252"/>
  </r>
  <r>
    <x v="47"/>
    <x v="47"/>
    <x v="0"/>
    <x v="2"/>
    <n v="79149"/>
    <n v="72536.031600399365"/>
    <s v="Pending"/>
    <d v="2024-04-28T00:00:00"/>
    <d v="2023-09-23T00:00:00"/>
    <d v="2024-06-12T00:00:00"/>
    <x v="1"/>
    <n v="33"/>
    <n v="9415"/>
  </r>
  <r>
    <x v="48"/>
    <x v="48"/>
    <x v="3"/>
    <x v="4"/>
    <n v="58138"/>
    <n v="15374.047137104981"/>
    <s v="Pending"/>
    <d v="2024-07-29T00:00:00"/>
    <d v="2023-10-21T00:00:00"/>
    <d v="2024-05-07T00:00:00"/>
    <x v="0"/>
    <n v="69"/>
    <n v="8771"/>
  </r>
  <r>
    <x v="49"/>
    <x v="49"/>
    <x v="3"/>
    <x v="0"/>
    <n v="78125"/>
    <n v="32626.51386592722"/>
    <s v="Rejected"/>
    <d v="2024-07-22T00:00:00"/>
    <d v="2023-09-08T00:00:00"/>
    <d v="2024-07-23T00:00:00"/>
    <x v="1"/>
    <n v="47"/>
    <n v="2278"/>
  </r>
  <r>
    <x v="50"/>
    <x v="50"/>
    <x v="0"/>
    <x v="1"/>
    <n v="15918"/>
    <n v="33980.034354341922"/>
    <s v="Approved"/>
    <d v="2024-01-01T00:00:00"/>
    <d v="2023-08-03T00:00:00"/>
    <d v="2024-05-07T00:00:00"/>
    <x v="0"/>
    <n v="65"/>
    <n v="13116"/>
  </r>
  <r>
    <x v="51"/>
    <x v="51"/>
    <x v="3"/>
    <x v="0"/>
    <n v="87655"/>
    <n v="68093.221768322997"/>
    <s v="Pending"/>
    <d v="2024-01-17T00:00:00"/>
    <d v="2023-07-12T00:00:00"/>
    <d v="2024-12-31T00:00:00"/>
    <x v="0"/>
    <n v="43"/>
    <n v="2580"/>
  </r>
  <r>
    <x v="52"/>
    <x v="52"/>
    <x v="0"/>
    <x v="4"/>
    <n v="29446"/>
    <n v="74057.829710023419"/>
    <s v="Approved"/>
    <d v="2024-01-28T00:00:00"/>
    <d v="2023-12-21T00:00:00"/>
    <d v="2024-04-17T00:00:00"/>
    <x v="0"/>
    <n v="34"/>
    <n v="6958"/>
  </r>
  <r>
    <x v="53"/>
    <x v="53"/>
    <x v="1"/>
    <x v="4"/>
    <n v="15046"/>
    <n v="24516.46053093678"/>
    <s v="Pending"/>
    <d v="2024-08-20T00:00:00"/>
    <d v="2023-04-02T00:00:00"/>
    <d v="2024-02-11T00:00:00"/>
    <x v="0"/>
    <n v="41"/>
    <n v="10445"/>
  </r>
  <r>
    <x v="54"/>
    <x v="54"/>
    <x v="0"/>
    <x v="4"/>
    <n v="26818"/>
    <n v="20453.115270563751"/>
    <s v="Pending"/>
    <d v="2024-02-25T00:00:00"/>
    <d v="2023-07-06T00:00:00"/>
    <d v="2024-10-14T00:00:00"/>
    <x v="0"/>
    <n v="49"/>
    <n v="6276"/>
  </r>
  <r>
    <x v="55"/>
    <x v="55"/>
    <x v="1"/>
    <x v="0"/>
    <n v="6324"/>
    <n v="29266.06653001461"/>
    <s v="Pending"/>
    <d v="2024-08-28T00:00:00"/>
    <d v="2023-02-22T00:00:00"/>
    <d v="2024-04-18T00:00:00"/>
    <x v="1"/>
    <n v="23"/>
    <n v="9997"/>
  </r>
  <r>
    <x v="56"/>
    <x v="56"/>
    <x v="1"/>
    <x v="4"/>
    <n v="78323"/>
    <n v="45978.046376547682"/>
    <s v="Approved"/>
    <d v="2024-10-09T00:00:00"/>
    <d v="2023-01-28T00:00:00"/>
    <d v="2024-01-27T00:00:00"/>
    <x v="1"/>
    <n v="32"/>
    <n v="6776"/>
  </r>
  <r>
    <x v="57"/>
    <x v="57"/>
    <x v="2"/>
    <x v="0"/>
    <n v="11111"/>
    <n v="13063.39837047861"/>
    <s v="Approved"/>
    <d v="2024-04-17T00:00:00"/>
    <d v="2023-02-23T00:00:00"/>
    <d v="2024-10-25T00:00:00"/>
    <x v="1"/>
    <n v="42"/>
    <n v="2824"/>
  </r>
  <r>
    <x v="58"/>
    <x v="58"/>
    <x v="0"/>
    <x v="4"/>
    <n v="40110"/>
    <n v="80268.353869665458"/>
    <s v="Approved"/>
    <d v="2024-01-27T00:00:00"/>
    <d v="2023-09-15T00:00:00"/>
    <d v="2024-05-05T00:00:00"/>
    <x v="1"/>
    <n v="27"/>
    <n v="5832"/>
  </r>
  <r>
    <x v="59"/>
    <x v="59"/>
    <x v="2"/>
    <x v="2"/>
    <n v="18389"/>
    <n v="43957.841710864268"/>
    <s v="Rejected"/>
    <d v="2024-08-14T00:00:00"/>
    <d v="2023-07-24T00:00:00"/>
    <d v="2024-09-17T00:00:00"/>
    <x v="1"/>
    <n v="37"/>
    <n v="10891"/>
  </r>
  <r>
    <x v="60"/>
    <x v="60"/>
    <x v="0"/>
    <x v="4"/>
    <n v="43427"/>
    <n v="14103.781392996139"/>
    <s v="Rejected"/>
    <d v="2024-10-21T00:00:00"/>
    <d v="2023-06-21T00:00:00"/>
    <d v="2024-10-29T00:00:00"/>
    <x v="1"/>
    <n v="31"/>
    <n v="7445"/>
  </r>
  <r>
    <x v="61"/>
    <x v="61"/>
    <x v="0"/>
    <x v="0"/>
    <n v="81579"/>
    <n v="95770.872873758781"/>
    <s v="Approved"/>
    <d v="2024-06-01T00:00:00"/>
    <d v="2023-11-01T00:00:00"/>
    <d v="2024-11-05T00:00:00"/>
    <x v="0"/>
    <n v="50"/>
    <n v="3380"/>
  </r>
  <r>
    <x v="62"/>
    <x v="62"/>
    <x v="2"/>
    <x v="3"/>
    <n v="30746"/>
    <n v="47933.490039303011"/>
    <s v="Approved"/>
    <d v="2024-07-24T00:00:00"/>
    <d v="2023-11-14T00:00:00"/>
    <d v="2024-12-11T00:00:00"/>
    <x v="0"/>
    <n v="33"/>
    <n v="14088"/>
  </r>
  <r>
    <x v="63"/>
    <x v="63"/>
    <x v="2"/>
    <x v="4"/>
    <n v="89886"/>
    <n v="43864.489128887173"/>
    <s v="Approved"/>
    <d v="2024-04-01T00:00:00"/>
    <d v="2023-05-28T00:00:00"/>
    <d v="2024-11-29T00:00:00"/>
    <x v="1"/>
    <n v="53"/>
    <n v="11865"/>
  </r>
  <r>
    <x v="64"/>
    <x v="64"/>
    <x v="0"/>
    <x v="3"/>
    <n v="2117"/>
    <n v="26065.649748704509"/>
    <s v="Pending"/>
    <d v="2024-02-10T00:00:00"/>
    <d v="2023-07-04T00:00:00"/>
    <d v="2024-06-17T00:00:00"/>
    <x v="1"/>
    <n v="37"/>
    <n v="12919"/>
  </r>
  <r>
    <x v="65"/>
    <x v="65"/>
    <x v="3"/>
    <x v="2"/>
    <n v="86471"/>
    <n v="8580.2329466446699"/>
    <s v="Pending"/>
    <d v="2024-02-22T00:00:00"/>
    <d v="2023-04-17T00:00:00"/>
    <d v="2024-07-29T00:00:00"/>
    <x v="0"/>
    <n v="53"/>
    <n v="8534"/>
  </r>
  <r>
    <x v="66"/>
    <x v="66"/>
    <x v="1"/>
    <x v="1"/>
    <n v="15234"/>
    <n v="22486.710089945591"/>
    <s v="Approved"/>
    <d v="2024-04-12T00:00:00"/>
    <d v="2023-12-29T00:00:00"/>
    <d v="2024-03-05T00:00:00"/>
    <x v="0"/>
    <n v="30"/>
    <n v="5156"/>
  </r>
  <r>
    <x v="67"/>
    <x v="67"/>
    <x v="2"/>
    <x v="2"/>
    <n v="55441"/>
    <n v="58336.699258038992"/>
    <s v="Approved"/>
    <d v="2024-05-10T00:00:00"/>
    <d v="2023-01-23T00:00:00"/>
    <d v="2024-03-10T00:00:00"/>
    <x v="0"/>
    <n v="60"/>
    <n v="13580"/>
  </r>
  <r>
    <x v="68"/>
    <x v="68"/>
    <x v="1"/>
    <x v="4"/>
    <n v="2846"/>
    <n v="9516.6712233565722"/>
    <s v="Pending"/>
    <d v="2024-02-29T00:00:00"/>
    <d v="2023-07-29T00:00:00"/>
    <d v="2024-01-02T00:00:00"/>
    <x v="1"/>
    <n v="31"/>
    <n v="6307"/>
  </r>
  <r>
    <x v="69"/>
    <x v="69"/>
    <x v="3"/>
    <x v="3"/>
    <n v="12954"/>
    <n v="64108.966254510917"/>
    <s v="Pending"/>
    <d v="2024-07-19T00:00:00"/>
    <d v="2023-07-15T00:00:00"/>
    <d v="2024-01-26T00:00:00"/>
    <x v="1"/>
    <n v="68"/>
    <n v="7634"/>
  </r>
  <r>
    <x v="70"/>
    <x v="70"/>
    <x v="3"/>
    <x v="3"/>
    <n v="81239"/>
    <n v="68876.935803622662"/>
    <s v="Approved"/>
    <d v="2024-10-19T00:00:00"/>
    <d v="2023-06-05T00:00:00"/>
    <d v="2024-12-13T00:00:00"/>
    <x v="1"/>
    <n v="34"/>
    <n v="10575"/>
  </r>
  <r>
    <x v="71"/>
    <x v="71"/>
    <x v="3"/>
    <x v="0"/>
    <n v="48514"/>
    <n v="44194.597994826159"/>
    <s v="Approved"/>
    <d v="2024-04-14T00:00:00"/>
    <d v="2023-07-04T00:00:00"/>
    <d v="2024-07-14T00:00:00"/>
    <x v="0"/>
    <n v="50"/>
    <n v="7810"/>
  </r>
  <r>
    <x v="72"/>
    <x v="72"/>
    <x v="2"/>
    <x v="3"/>
    <n v="90236"/>
    <n v="29719.670674958488"/>
    <s v="Approved"/>
    <d v="2024-09-06T00:00:00"/>
    <d v="2023-04-10T00:00:00"/>
    <d v="2024-11-10T00:00:00"/>
    <x v="0"/>
    <n v="68"/>
    <n v="10533"/>
  </r>
  <r>
    <x v="73"/>
    <x v="73"/>
    <x v="3"/>
    <x v="0"/>
    <n v="99579"/>
    <n v="56127.850825409238"/>
    <s v="Approved"/>
    <d v="2024-08-11T00:00:00"/>
    <d v="2023-04-09T00:00:00"/>
    <d v="2024-01-10T00:00:00"/>
    <x v="1"/>
    <n v="48"/>
    <n v="7934"/>
  </r>
  <r>
    <x v="74"/>
    <x v="74"/>
    <x v="2"/>
    <x v="1"/>
    <n v="8469"/>
    <n v="7186.4646095004346"/>
    <s v="Approved"/>
    <d v="2024-09-10T00:00:00"/>
    <d v="2023-07-30T00:00:00"/>
    <d v="2024-01-27T00:00:00"/>
    <x v="1"/>
    <n v="45"/>
    <n v="12179"/>
  </r>
  <r>
    <x v="75"/>
    <x v="75"/>
    <x v="3"/>
    <x v="4"/>
    <n v="32105"/>
    <n v="22469.647537496068"/>
    <s v="Approved"/>
    <d v="2024-09-17T00:00:00"/>
    <d v="2023-09-10T00:00:00"/>
    <d v="2024-02-29T00:00:00"/>
    <x v="0"/>
    <n v="37"/>
    <n v="14251"/>
  </r>
  <r>
    <x v="76"/>
    <x v="76"/>
    <x v="1"/>
    <x v="0"/>
    <n v="44101"/>
    <n v="34395.072700674347"/>
    <s v="Pending"/>
    <d v="2024-10-10T00:00:00"/>
    <d v="2023-03-22T00:00:00"/>
    <d v="2024-08-07T00:00:00"/>
    <x v="0"/>
    <n v="51"/>
    <n v="5109"/>
  </r>
  <r>
    <x v="77"/>
    <x v="77"/>
    <x v="1"/>
    <x v="1"/>
    <n v="66323"/>
    <n v="28599.37010050055"/>
    <s v="Approved"/>
    <d v="2024-09-16T00:00:00"/>
    <d v="2023-09-02T00:00:00"/>
    <d v="2024-07-08T00:00:00"/>
    <x v="0"/>
    <n v="41"/>
    <n v="6082"/>
  </r>
  <r>
    <x v="78"/>
    <x v="78"/>
    <x v="0"/>
    <x v="3"/>
    <n v="93922"/>
    <n v="25381.522048250361"/>
    <s v="Pending"/>
    <d v="2024-04-18T00:00:00"/>
    <d v="2023-03-23T00:00:00"/>
    <d v="2024-06-04T00:00:00"/>
    <x v="0"/>
    <n v="57"/>
    <n v="14707"/>
  </r>
  <r>
    <x v="79"/>
    <x v="79"/>
    <x v="1"/>
    <x v="3"/>
    <n v="60067"/>
    <n v="20019.132405939421"/>
    <s v="Approved"/>
    <d v="2024-02-23T00:00:00"/>
    <d v="2023-05-29T00:00:00"/>
    <d v="2024-07-19T00:00:00"/>
    <x v="1"/>
    <n v="36"/>
    <n v="12990"/>
  </r>
  <r>
    <x v="80"/>
    <x v="80"/>
    <x v="0"/>
    <x v="1"/>
    <n v="51376"/>
    <n v="21059.46449928531"/>
    <s v="Approved"/>
    <d v="2024-09-08T00:00:00"/>
    <d v="2023-12-07T00:00:00"/>
    <d v="2024-12-26T00:00:00"/>
    <x v="0"/>
    <n v="42"/>
    <n v="5240"/>
  </r>
  <r>
    <x v="81"/>
    <x v="81"/>
    <x v="1"/>
    <x v="3"/>
    <n v="47587"/>
    <n v="12950.068812750789"/>
    <s v="Approved"/>
    <d v="2024-07-20T00:00:00"/>
    <d v="2023-10-15T00:00:00"/>
    <d v="2024-06-30T00:00:00"/>
    <x v="0"/>
    <n v="43"/>
    <n v="12180"/>
  </r>
  <r>
    <x v="82"/>
    <x v="82"/>
    <x v="2"/>
    <x v="1"/>
    <n v="38976"/>
    <n v="51461.965770763723"/>
    <s v="Approved"/>
    <d v="2024-04-18T00:00:00"/>
    <d v="2023-03-30T00:00:00"/>
    <d v="2024-06-14T00:00:00"/>
    <x v="0"/>
    <n v="69"/>
    <n v="8028"/>
  </r>
  <r>
    <x v="83"/>
    <x v="83"/>
    <x v="1"/>
    <x v="0"/>
    <n v="69584"/>
    <n v="55471.009636943098"/>
    <s v="Pending"/>
    <d v="2024-04-03T00:00:00"/>
    <d v="2023-04-07T00:00:00"/>
    <d v="2024-11-26T00:00:00"/>
    <x v="1"/>
    <n v="27"/>
    <n v="13606"/>
  </r>
  <r>
    <x v="84"/>
    <x v="84"/>
    <x v="0"/>
    <x v="0"/>
    <n v="80477"/>
    <n v="87976.427785585387"/>
    <s v="Rejected"/>
    <d v="2024-01-31T00:00:00"/>
    <d v="2023-09-28T00:00:00"/>
    <d v="2024-12-29T00:00:00"/>
    <x v="1"/>
    <n v="60"/>
    <n v="3849"/>
  </r>
  <r>
    <x v="85"/>
    <x v="85"/>
    <x v="0"/>
    <x v="1"/>
    <n v="44533"/>
    <n v="68463.749532763031"/>
    <s v="Approved"/>
    <d v="2024-04-17T00:00:00"/>
    <d v="2023-01-02T00:00:00"/>
    <d v="2024-02-21T00:00:00"/>
    <x v="0"/>
    <n v="25"/>
    <n v="10497"/>
  </r>
  <r>
    <x v="86"/>
    <x v="86"/>
    <x v="3"/>
    <x v="0"/>
    <n v="3828"/>
    <n v="0"/>
    <s v="Approved"/>
    <d v="2024-07-16T00:00:00"/>
    <d v="2023-12-02T00:00:00"/>
    <d v="2024-08-08T00:00:00"/>
    <x v="0"/>
    <n v="24"/>
    <n v="13805"/>
  </r>
  <r>
    <x v="87"/>
    <x v="87"/>
    <x v="2"/>
    <x v="0"/>
    <n v="3917"/>
    <n v="31237.366667832841"/>
    <s v="Pending"/>
    <d v="2024-01-08T00:00:00"/>
    <d v="2023-08-02T00:00:00"/>
    <d v="2024-01-01T00:00:00"/>
    <x v="0"/>
    <n v="63"/>
    <n v="4749"/>
  </r>
  <r>
    <x v="88"/>
    <x v="88"/>
    <x v="1"/>
    <x v="0"/>
    <n v="22618"/>
    <n v="85784.226156011544"/>
    <s v="Approved"/>
    <d v="2024-03-19T00:00:00"/>
    <d v="2023-05-19T00:00:00"/>
    <d v="2024-12-24T00:00:00"/>
    <x v="1"/>
    <n v="48"/>
    <n v="8680"/>
  </r>
  <r>
    <x v="89"/>
    <x v="89"/>
    <x v="3"/>
    <x v="2"/>
    <n v="34254"/>
    <n v="40928.220499709598"/>
    <s v="Approved"/>
    <d v="2024-09-07T00:00:00"/>
    <d v="2023-01-28T00:00:00"/>
    <d v="2024-02-22T00:00:00"/>
    <x v="1"/>
    <n v="47"/>
    <n v="11327"/>
  </r>
  <r>
    <x v="90"/>
    <x v="90"/>
    <x v="1"/>
    <x v="4"/>
    <n v="49362"/>
    <n v="74852.572510418497"/>
    <s v="Pending"/>
    <d v="2024-10-04T00:00:00"/>
    <d v="2023-06-21T00:00:00"/>
    <d v="2024-08-11T00:00:00"/>
    <x v="1"/>
    <n v="30"/>
    <n v="2205"/>
  </r>
  <r>
    <x v="91"/>
    <x v="91"/>
    <x v="1"/>
    <x v="3"/>
    <n v="22128"/>
    <n v="83333.103057094879"/>
    <s v="Approved"/>
    <d v="2024-07-12T00:00:00"/>
    <d v="2023-12-20T00:00:00"/>
    <d v="2024-06-29T00:00:00"/>
    <x v="0"/>
    <n v="20"/>
    <n v="9352"/>
  </r>
  <r>
    <x v="92"/>
    <x v="92"/>
    <x v="3"/>
    <x v="2"/>
    <n v="61383"/>
    <n v="49213.714764434502"/>
    <s v="Approved"/>
    <d v="2024-03-27T00:00:00"/>
    <d v="2023-06-05T00:00:00"/>
    <d v="2024-06-18T00:00:00"/>
    <x v="1"/>
    <n v="62"/>
    <n v="6591"/>
  </r>
  <r>
    <x v="93"/>
    <x v="93"/>
    <x v="3"/>
    <x v="0"/>
    <n v="67545"/>
    <n v="4156.0560359412102"/>
    <s v="Approved"/>
    <d v="2024-03-04T00:00:00"/>
    <d v="2023-07-25T00:00:00"/>
    <d v="2024-02-03T00:00:00"/>
    <x v="0"/>
    <n v="38"/>
    <n v="5450"/>
  </r>
  <r>
    <x v="94"/>
    <x v="94"/>
    <x v="3"/>
    <x v="1"/>
    <n v="84180"/>
    <n v="68263.887639890425"/>
    <s v="Pending"/>
    <d v="2024-02-19T00:00:00"/>
    <d v="2023-04-06T00:00:00"/>
    <d v="2024-02-10T00:00:00"/>
    <x v="0"/>
    <n v="28"/>
    <n v="9214"/>
  </r>
  <r>
    <x v="95"/>
    <x v="95"/>
    <x v="3"/>
    <x v="0"/>
    <n v="89958"/>
    <n v="17906.649336671959"/>
    <s v="Approved"/>
    <d v="2024-07-14T00:00:00"/>
    <d v="2023-08-19T00:00:00"/>
    <d v="2024-07-27T00:00:00"/>
    <x v="0"/>
    <n v="46"/>
    <n v="5811"/>
  </r>
  <r>
    <x v="96"/>
    <x v="96"/>
    <x v="3"/>
    <x v="4"/>
    <n v="11865"/>
    <n v="17042.25866208546"/>
    <s v="Approved"/>
    <d v="2024-04-03T00:00:00"/>
    <d v="2023-01-29T00:00:00"/>
    <d v="2024-01-29T00:00:00"/>
    <x v="1"/>
    <n v="53"/>
    <n v="13814"/>
  </r>
  <r>
    <x v="97"/>
    <x v="97"/>
    <x v="1"/>
    <x v="0"/>
    <n v="4219"/>
    <n v="0"/>
    <s v="Pending"/>
    <d v="2024-09-09T00:00:00"/>
    <d v="2023-10-09T00:00:00"/>
    <d v="2024-05-24T00:00:00"/>
    <x v="0"/>
    <n v="63"/>
    <n v="13791"/>
  </r>
  <r>
    <x v="98"/>
    <x v="98"/>
    <x v="3"/>
    <x v="1"/>
    <n v="41809"/>
    <n v="42365.81646902208"/>
    <s v="Approved"/>
    <d v="2024-03-01T00:00:00"/>
    <d v="2023-06-14T00:00:00"/>
    <d v="2024-01-27T00:00:00"/>
    <x v="1"/>
    <n v="23"/>
    <n v="12743"/>
  </r>
  <r>
    <x v="99"/>
    <x v="99"/>
    <x v="2"/>
    <x v="4"/>
    <n v="7287"/>
    <n v="32099.159216072479"/>
    <s v="Pending"/>
    <d v="2024-08-09T00:00:00"/>
    <d v="2023-03-27T00:00:00"/>
    <d v="2024-07-21T00:00:00"/>
    <x v="1"/>
    <n v="55"/>
    <n v="7141"/>
  </r>
  <r>
    <x v="100"/>
    <x v="100"/>
    <x v="0"/>
    <x v="0"/>
    <n v="36387"/>
    <n v="77176.396907679082"/>
    <s v="Approved"/>
    <d v="2024-01-12T00:00:00"/>
    <d v="2023-04-14T00:00:00"/>
    <d v="2024-01-29T00:00:00"/>
    <x v="0"/>
    <n v="37"/>
    <n v="14500"/>
  </r>
  <r>
    <x v="101"/>
    <x v="101"/>
    <x v="3"/>
    <x v="4"/>
    <n v="10512"/>
    <n v="7566.8659085761883"/>
    <s v="Rejected"/>
    <d v="2024-01-31T00:00:00"/>
    <d v="2023-10-25T00:00:00"/>
    <d v="2024-07-24T00:00:00"/>
    <x v="0"/>
    <n v="34"/>
    <n v="10501"/>
  </r>
  <r>
    <x v="102"/>
    <x v="102"/>
    <x v="3"/>
    <x v="3"/>
    <n v="3342"/>
    <n v="38161.031034175146"/>
    <s v="Approved"/>
    <d v="2024-09-12T00:00:00"/>
    <d v="2023-07-07T00:00:00"/>
    <d v="2024-11-11T00:00:00"/>
    <x v="1"/>
    <n v="32"/>
    <n v="4708"/>
  </r>
  <r>
    <x v="103"/>
    <x v="103"/>
    <x v="1"/>
    <x v="3"/>
    <n v="65076"/>
    <n v="55730.278152426363"/>
    <s v="Approved"/>
    <d v="2024-08-04T00:00:00"/>
    <d v="2023-04-22T00:00:00"/>
    <d v="2024-07-17T00:00:00"/>
    <x v="0"/>
    <n v="38"/>
    <n v="3991"/>
  </r>
  <r>
    <x v="104"/>
    <x v="104"/>
    <x v="3"/>
    <x v="0"/>
    <n v="21216"/>
    <n v="15846.30925732196"/>
    <s v="Approved"/>
    <d v="2024-05-23T00:00:00"/>
    <d v="2023-10-01T00:00:00"/>
    <d v="2024-02-02T00:00:00"/>
    <x v="1"/>
    <n v="68"/>
    <n v="10463"/>
  </r>
  <r>
    <x v="105"/>
    <x v="105"/>
    <x v="3"/>
    <x v="4"/>
    <n v="95070"/>
    <n v="8178.7919832370744"/>
    <s v="Approved"/>
    <d v="2024-04-14T00:00:00"/>
    <d v="2023-03-03T00:00:00"/>
    <d v="2024-09-08T00:00:00"/>
    <x v="0"/>
    <n v="25"/>
    <n v="13834"/>
  </r>
  <r>
    <x v="106"/>
    <x v="106"/>
    <x v="3"/>
    <x v="1"/>
    <n v="81767"/>
    <n v="19419.66361659898"/>
    <s v="Pending"/>
    <d v="2024-02-15T00:00:00"/>
    <d v="2023-08-30T00:00:00"/>
    <d v="2024-02-12T00:00:00"/>
    <x v="1"/>
    <n v="67"/>
    <n v="14278"/>
  </r>
  <r>
    <x v="107"/>
    <x v="107"/>
    <x v="1"/>
    <x v="0"/>
    <n v="99829"/>
    <n v="50661.348801355824"/>
    <s v="Rejected"/>
    <d v="2024-08-14T00:00:00"/>
    <d v="2023-09-19T00:00:00"/>
    <d v="2024-06-10T00:00:00"/>
    <x v="1"/>
    <n v="31"/>
    <n v="12014"/>
  </r>
  <r>
    <x v="108"/>
    <x v="108"/>
    <x v="3"/>
    <x v="3"/>
    <n v="28614"/>
    <n v="0"/>
    <s v="Approved"/>
    <d v="2024-07-30T00:00:00"/>
    <d v="2023-05-21T00:00:00"/>
    <d v="2024-02-15T00:00:00"/>
    <x v="1"/>
    <n v="56"/>
    <n v="5273"/>
  </r>
  <r>
    <x v="109"/>
    <x v="109"/>
    <x v="0"/>
    <x v="3"/>
    <n v="38258"/>
    <n v="63727.504827433717"/>
    <s v="Approved"/>
    <d v="2024-10-17T00:00:00"/>
    <d v="2023-06-27T00:00:00"/>
    <d v="2024-08-23T00:00:00"/>
    <x v="1"/>
    <n v="36"/>
    <n v="6538"/>
  </r>
  <r>
    <x v="110"/>
    <x v="110"/>
    <x v="1"/>
    <x v="0"/>
    <n v="95789"/>
    <n v="42973.783261150384"/>
    <s v="Pending"/>
    <d v="2024-06-27T00:00:00"/>
    <d v="2023-11-04T00:00:00"/>
    <d v="2024-12-18T00:00:00"/>
    <x v="0"/>
    <n v="42"/>
    <n v="14541"/>
  </r>
  <r>
    <x v="111"/>
    <x v="111"/>
    <x v="0"/>
    <x v="4"/>
    <n v="44078"/>
    <n v="0"/>
    <s v="Pending"/>
    <d v="2024-01-17T00:00:00"/>
    <d v="2023-11-05T00:00:00"/>
    <d v="2024-02-08T00:00:00"/>
    <x v="0"/>
    <n v="45"/>
    <n v="10712"/>
  </r>
  <r>
    <x v="112"/>
    <x v="112"/>
    <x v="1"/>
    <x v="3"/>
    <n v="85524"/>
    <n v="34313.926662477912"/>
    <s v="Approved"/>
    <d v="2024-08-06T00:00:00"/>
    <d v="2023-12-08T00:00:00"/>
    <d v="2024-06-24T00:00:00"/>
    <x v="1"/>
    <n v="48"/>
    <n v="11168"/>
  </r>
  <r>
    <x v="113"/>
    <x v="113"/>
    <x v="3"/>
    <x v="4"/>
    <n v="98573"/>
    <n v="50589.193792504491"/>
    <s v="Approved"/>
    <d v="2024-02-25T00:00:00"/>
    <d v="2023-05-28T00:00:00"/>
    <d v="2024-07-26T00:00:00"/>
    <x v="1"/>
    <n v="52"/>
    <n v="5722"/>
  </r>
  <r>
    <x v="114"/>
    <x v="114"/>
    <x v="0"/>
    <x v="3"/>
    <n v="14219"/>
    <n v="22866.98703830158"/>
    <s v="Approved"/>
    <d v="2024-03-19T00:00:00"/>
    <d v="2023-03-17T00:00:00"/>
    <d v="2024-03-21T00:00:00"/>
    <x v="0"/>
    <n v="46"/>
    <n v="5551"/>
  </r>
  <r>
    <x v="115"/>
    <x v="115"/>
    <x v="1"/>
    <x v="3"/>
    <n v="2235"/>
    <n v="48959.392668540808"/>
    <s v="Approved"/>
    <d v="2024-03-29T00:00:00"/>
    <d v="2023-02-02T00:00:00"/>
    <d v="2024-05-27T00:00:00"/>
    <x v="0"/>
    <n v="44"/>
    <n v="14297"/>
  </r>
  <r>
    <x v="116"/>
    <x v="116"/>
    <x v="2"/>
    <x v="2"/>
    <n v="44929"/>
    <n v="20465.146288192522"/>
    <s v="Approved"/>
    <d v="2024-03-31T00:00:00"/>
    <d v="2023-03-05T00:00:00"/>
    <d v="2024-09-22T00:00:00"/>
    <x v="0"/>
    <n v="29"/>
    <n v="12965"/>
  </r>
  <r>
    <x v="117"/>
    <x v="117"/>
    <x v="3"/>
    <x v="3"/>
    <n v="69444"/>
    <n v="0"/>
    <s v="Approved"/>
    <d v="2024-07-24T00:00:00"/>
    <d v="2023-01-29T00:00:00"/>
    <d v="2024-03-26T00:00:00"/>
    <x v="0"/>
    <n v="66"/>
    <n v="12744"/>
  </r>
  <r>
    <x v="118"/>
    <x v="118"/>
    <x v="1"/>
    <x v="1"/>
    <n v="10567"/>
    <n v="48779.546597472137"/>
    <s v="Approved"/>
    <d v="2024-04-17T00:00:00"/>
    <d v="2023-07-10T00:00:00"/>
    <d v="2024-04-09T00:00:00"/>
    <x v="0"/>
    <n v="42"/>
    <n v="4832"/>
  </r>
  <r>
    <x v="119"/>
    <x v="119"/>
    <x v="2"/>
    <x v="0"/>
    <n v="72792"/>
    <n v="14495.887596801849"/>
    <s v="Pending"/>
    <d v="2024-02-06T00:00:00"/>
    <d v="2023-01-21T00:00:00"/>
    <d v="2024-04-24T00:00:00"/>
    <x v="0"/>
    <n v="40"/>
    <n v="14099"/>
  </r>
  <r>
    <x v="120"/>
    <x v="120"/>
    <x v="1"/>
    <x v="0"/>
    <n v="67441"/>
    <n v="43848.68906785921"/>
    <s v="Approved"/>
    <d v="2024-01-03T00:00:00"/>
    <d v="2023-12-08T00:00:00"/>
    <d v="2024-06-26T00:00:00"/>
    <x v="1"/>
    <n v="40"/>
    <n v="7679"/>
  </r>
  <r>
    <x v="121"/>
    <x v="121"/>
    <x v="2"/>
    <x v="4"/>
    <n v="86555"/>
    <n v="0"/>
    <s v="Approved"/>
    <d v="2024-06-09T00:00:00"/>
    <d v="2023-07-28T00:00:00"/>
    <d v="2024-03-21T00:00:00"/>
    <x v="0"/>
    <n v="62"/>
    <n v="8579"/>
  </r>
  <r>
    <x v="122"/>
    <x v="122"/>
    <x v="3"/>
    <x v="3"/>
    <n v="75698"/>
    <n v="24879.846540345839"/>
    <s v="Approved"/>
    <d v="2024-05-14T00:00:00"/>
    <d v="2023-12-11T00:00:00"/>
    <d v="2024-11-27T00:00:00"/>
    <x v="0"/>
    <n v="32"/>
    <n v="2152"/>
  </r>
  <r>
    <x v="123"/>
    <x v="123"/>
    <x v="0"/>
    <x v="1"/>
    <n v="7415"/>
    <n v="18171.26164553834"/>
    <s v="Approved"/>
    <d v="2024-07-15T00:00:00"/>
    <d v="2023-05-12T00:00:00"/>
    <d v="2024-09-30T00:00:00"/>
    <x v="1"/>
    <n v="56"/>
    <n v="7754"/>
  </r>
  <r>
    <x v="124"/>
    <x v="124"/>
    <x v="2"/>
    <x v="4"/>
    <n v="38159"/>
    <n v="33186.029785563587"/>
    <s v="Approved"/>
    <d v="2024-07-17T00:00:00"/>
    <d v="2023-04-16T00:00:00"/>
    <d v="2024-03-17T00:00:00"/>
    <x v="0"/>
    <n v="52"/>
    <n v="13156"/>
  </r>
  <r>
    <x v="125"/>
    <x v="125"/>
    <x v="1"/>
    <x v="2"/>
    <n v="45925"/>
    <n v="17347.151496284499"/>
    <s v="Approved"/>
    <d v="2024-09-27T00:00:00"/>
    <d v="2023-12-25T00:00:00"/>
    <d v="2024-08-05T00:00:00"/>
    <x v="0"/>
    <n v="43"/>
    <n v="13108"/>
  </r>
  <r>
    <x v="126"/>
    <x v="126"/>
    <x v="3"/>
    <x v="4"/>
    <n v="7951"/>
    <n v="48479.28751503746"/>
    <s v="Approved"/>
    <d v="2024-03-27T00:00:00"/>
    <d v="2023-08-08T00:00:00"/>
    <d v="2024-10-21T00:00:00"/>
    <x v="0"/>
    <n v="63"/>
    <n v="4800"/>
  </r>
  <r>
    <x v="127"/>
    <x v="127"/>
    <x v="2"/>
    <x v="4"/>
    <n v="89388"/>
    <n v="40905.211134059427"/>
    <s v="Approved"/>
    <d v="2024-02-05T00:00:00"/>
    <d v="2023-08-16T00:00:00"/>
    <d v="2024-06-02T00:00:00"/>
    <x v="0"/>
    <n v="30"/>
    <n v="7310"/>
  </r>
  <r>
    <x v="128"/>
    <x v="128"/>
    <x v="1"/>
    <x v="3"/>
    <n v="10007"/>
    <n v="42711.189923262653"/>
    <s v="Approved"/>
    <d v="2024-01-01T00:00:00"/>
    <d v="2023-04-17T00:00:00"/>
    <d v="2024-03-03T00:00:00"/>
    <x v="0"/>
    <n v="36"/>
    <n v="11944"/>
  </r>
  <r>
    <x v="129"/>
    <x v="129"/>
    <x v="1"/>
    <x v="2"/>
    <n v="43832"/>
    <n v="55990.231980352219"/>
    <s v="Approved"/>
    <d v="2024-05-31T00:00:00"/>
    <d v="2023-06-10T00:00:00"/>
    <d v="2024-06-17T00:00:00"/>
    <x v="1"/>
    <n v="23"/>
    <n v="4610"/>
  </r>
  <r>
    <x v="130"/>
    <x v="130"/>
    <x v="1"/>
    <x v="4"/>
    <n v="60596"/>
    <n v="0"/>
    <s v="Pending"/>
    <d v="2024-10-17T00:00:00"/>
    <d v="2023-12-13T00:00:00"/>
    <d v="2024-03-21T00:00:00"/>
    <x v="0"/>
    <n v="66"/>
    <n v="14067"/>
  </r>
  <r>
    <x v="131"/>
    <x v="131"/>
    <x v="2"/>
    <x v="1"/>
    <n v="32523"/>
    <n v="28622.93730564103"/>
    <s v="Approved"/>
    <d v="2024-07-06T00:00:00"/>
    <d v="2023-10-26T00:00:00"/>
    <d v="2024-12-09T00:00:00"/>
    <x v="1"/>
    <n v="44"/>
    <n v="3104"/>
  </r>
  <r>
    <x v="132"/>
    <x v="132"/>
    <x v="2"/>
    <x v="1"/>
    <n v="90861"/>
    <n v="49299.806381046903"/>
    <s v="Pending"/>
    <d v="2024-04-20T00:00:00"/>
    <d v="2023-12-17T00:00:00"/>
    <d v="2024-10-13T00:00:00"/>
    <x v="1"/>
    <n v="49"/>
    <n v="12728"/>
  </r>
  <r>
    <x v="133"/>
    <x v="133"/>
    <x v="2"/>
    <x v="0"/>
    <n v="88740"/>
    <n v="82755.863210734489"/>
    <s v="Approved"/>
    <d v="2024-03-12T00:00:00"/>
    <d v="2023-08-09T00:00:00"/>
    <d v="2024-10-04T00:00:00"/>
    <x v="0"/>
    <n v="28"/>
    <n v="9361"/>
  </r>
  <r>
    <x v="134"/>
    <x v="134"/>
    <x v="0"/>
    <x v="2"/>
    <n v="17524"/>
    <n v="60196.148789487539"/>
    <s v="Approved"/>
    <d v="2024-06-13T00:00:00"/>
    <d v="2023-04-21T00:00:00"/>
    <d v="2024-11-09T00:00:00"/>
    <x v="1"/>
    <n v="40"/>
    <n v="6199"/>
  </r>
  <r>
    <x v="135"/>
    <x v="135"/>
    <x v="2"/>
    <x v="2"/>
    <n v="21282"/>
    <n v="9067.1734071749324"/>
    <s v="Approved"/>
    <d v="2024-06-14T00:00:00"/>
    <d v="2023-05-07T00:00:00"/>
    <d v="2024-01-25T00:00:00"/>
    <x v="0"/>
    <n v="39"/>
    <n v="5854"/>
  </r>
  <r>
    <x v="136"/>
    <x v="136"/>
    <x v="2"/>
    <x v="0"/>
    <n v="25930"/>
    <n v="0"/>
    <s v="Approved"/>
    <d v="2024-10-26T00:00:00"/>
    <d v="2023-06-18T00:00:00"/>
    <d v="2024-06-17T00:00:00"/>
    <x v="1"/>
    <n v="38"/>
    <n v="9263"/>
  </r>
  <r>
    <x v="137"/>
    <x v="137"/>
    <x v="2"/>
    <x v="4"/>
    <n v="2077"/>
    <n v="25663.138766738601"/>
    <s v="Pending"/>
    <d v="2024-08-19T00:00:00"/>
    <d v="2023-04-09T00:00:00"/>
    <d v="2024-08-06T00:00:00"/>
    <x v="1"/>
    <n v="38"/>
    <n v="13686"/>
  </r>
  <r>
    <x v="138"/>
    <x v="138"/>
    <x v="0"/>
    <x v="2"/>
    <n v="22611"/>
    <n v="3965.794087534045"/>
    <s v="Pending"/>
    <d v="2024-04-17T00:00:00"/>
    <d v="2023-01-27T00:00:00"/>
    <d v="2024-10-14T00:00:00"/>
    <x v="0"/>
    <n v="31"/>
    <n v="3914"/>
  </r>
  <r>
    <x v="139"/>
    <x v="139"/>
    <x v="2"/>
    <x v="1"/>
    <n v="18984"/>
    <n v="7560.7605618836988"/>
    <s v="Pending"/>
    <d v="2024-09-08T00:00:00"/>
    <d v="2023-05-30T00:00:00"/>
    <d v="2024-01-16T00:00:00"/>
    <x v="0"/>
    <n v="56"/>
    <n v="9365"/>
  </r>
  <r>
    <x v="140"/>
    <x v="140"/>
    <x v="1"/>
    <x v="1"/>
    <n v="16060"/>
    <n v="9542.7163295856881"/>
    <s v="Approved"/>
    <d v="2024-03-18T00:00:00"/>
    <d v="2023-10-25T00:00:00"/>
    <d v="2024-01-19T00:00:00"/>
    <x v="0"/>
    <n v="61"/>
    <n v="5072"/>
  </r>
  <r>
    <x v="141"/>
    <x v="141"/>
    <x v="2"/>
    <x v="3"/>
    <n v="84985"/>
    <n v="17584.050807379412"/>
    <s v="Approved"/>
    <d v="2024-02-04T00:00:00"/>
    <d v="2023-03-24T00:00:00"/>
    <d v="2024-02-07T00:00:00"/>
    <x v="0"/>
    <n v="36"/>
    <n v="11198"/>
  </r>
  <r>
    <x v="142"/>
    <x v="142"/>
    <x v="1"/>
    <x v="2"/>
    <n v="86056"/>
    <n v="66095.125069000729"/>
    <s v="Approved"/>
    <d v="2024-04-29T00:00:00"/>
    <d v="2023-02-10T00:00:00"/>
    <d v="2024-12-06T00:00:00"/>
    <x v="0"/>
    <n v="56"/>
    <n v="2406"/>
  </r>
  <r>
    <x v="143"/>
    <x v="143"/>
    <x v="1"/>
    <x v="4"/>
    <n v="45303"/>
    <n v="3170.3378890821259"/>
    <s v="Approved"/>
    <d v="2024-09-05T00:00:00"/>
    <d v="2023-11-28T00:00:00"/>
    <d v="2024-07-12T00:00:00"/>
    <x v="1"/>
    <n v="67"/>
    <n v="2166"/>
  </r>
  <r>
    <x v="144"/>
    <x v="144"/>
    <x v="1"/>
    <x v="0"/>
    <n v="61207"/>
    <n v="33122.194953259299"/>
    <s v="Approved"/>
    <d v="2024-08-01T00:00:00"/>
    <d v="2023-12-08T00:00:00"/>
    <d v="2024-07-25T00:00:00"/>
    <x v="1"/>
    <n v="58"/>
    <n v="2508"/>
  </r>
  <r>
    <x v="145"/>
    <x v="145"/>
    <x v="0"/>
    <x v="0"/>
    <n v="77046"/>
    <n v="26437.840086588429"/>
    <s v="Approved"/>
    <d v="2024-05-29T00:00:00"/>
    <d v="2023-04-03T00:00:00"/>
    <d v="2024-11-30T00:00:00"/>
    <x v="1"/>
    <n v="47"/>
    <n v="3661"/>
  </r>
  <r>
    <x v="146"/>
    <x v="146"/>
    <x v="0"/>
    <x v="4"/>
    <n v="31287"/>
    <n v="28079.821000810109"/>
    <s v="Approved"/>
    <d v="2024-02-11T00:00:00"/>
    <d v="2023-05-06T00:00:00"/>
    <d v="2024-12-27T00:00:00"/>
    <x v="1"/>
    <n v="60"/>
    <n v="5664"/>
  </r>
  <r>
    <x v="147"/>
    <x v="147"/>
    <x v="0"/>
    <x v="3"/>
    <n v="95709"/>
    <n v="20014.394253862429"/>
    <s v="Approved"/>
    <d v="2024-09-25T00:00:00"/>
    <d v="2023-10-29T00:00:00"/>
    <d v="2024-01-19T00:00:00"/>
    <x v="1"/>
    <n v="54"/>
    <n v="5489"/>
  </r>
  <r>
    <x v="148"/>
    <x v="148"/>
    <x v="2"/>
    <x v="0"/>
    <n v="41711"/>
    <n v="31160.314986272751"/>
    <s v="Pending"/>
    <d v="2024-06-23T00:00:00"/>
    <d v="2023-08-22T00:00:00"/>
    <d v="2024-07-08T00:00:00"/>
    <x v="1"/>
    <n v="66"/>
    <n v="2680"/>
  </r>
  <r>
    <x v="149"/>
    <x v="149"/>
    <x v="1"/>
    <x v="2"/>
    <n v="13954"/>
    <n v="0"/>
    <s v="Rejected"/>
    <d v="2024-07-27T00:00:00"/>
    <d v="2023-04-03T00:00:00"/>
    <d v="2024-09-14T00:00:00"/>
    <x v="1"/>
    <n v="67"/>
    <n v="4524"/>
  </r>
  <r>
    <x v="150"/>
    <x v="150"/>
    <x v="0"/>
    <x v="3"/>
    <n v="75340"/>
    <n v="40151.819809090877"/>
    <s v="Rejected"/>
    <d v="2024-09-18T00:00:00"/>
    <d v="2023-07-07T00:00:00"/>
    <d v="2024-04-28T00:00:00"/>
    <x v="0"/>
    <n v="37"/>
    <n v="4120"/>
  </r>
  <r>
    <x v="151"/>
    <x v="151"/>
    <x v="0"/>
    <x v="2"/>
    <n v="74101"/>
    <n v="44748.510291018138"/>
    <s v="Approved"/>
    <d v="2024-02-10T00:00:00"/>
    <d v="2023-01-16T00:00:00"/>
    <d v="2024-06-16T00:00:00"/>
    <x v="0"/>
    <n v="33"/>
    <n v="7260"/>
  </r>
  <r>
    <x v="152"/>
    <x v="152"/>
    <x v="2"/>
    <x v="1"/>
    <n v="73520"/>
    <n v="81055.289175354788"/>
    <s v="Approved"/>
    <d v="2024-06-06T00:00:00"/>
    <d v="2023-01-04T00:00:00"/>
    <d v="2024-08-19T00:00:00"/>
    <x v="1"/>
    <n v="54"/>
    <n v="14869"/>
  </r>
  <r>
    <x v="153"/>
    <x v="153"/>
    <x v="0"/>
    <x v="3"/>
    <n v="89062"/>
    <n v="71228.549521769703"/>
    <s v="Approved"/>
    <d v="2024-02-27T00:00:00"/>
    <d v="2023-06-28T00:00:00"/>
    <d v="2024-04-16T00:00:00"/>
    <x v="1"/>
    <n v="63"/>
    <n v="6357"/>
  </r>
  <r>
    <x v="154"/>
    <x v="154"/>
    <x v="2"/>
    <x v="0"/>
    <n v="20574"/>
    <n v="27943.767962768088"/>
    <s v="Pending"/>
    <d v="2024-07-13T00:00:00"/>
    <d v="2023-03-24T00:00:00"/>
    <d v="2024-04-17T00:00:00"/>
    <x v="0"/>
    <n v="60"/>
    <n v="3363"/>
  </r>
  <r>
    <x v="155"/>
    <x v="155"/>
    <x v="3"/>
    <x v="3"/>
    <n v="11184"/>
    <n v="3851.2281049426228"/>
    <s v="Approved"/>
    <d v="2024-10-19T00:00:00"/>
    <d v="2023-11-06T00:00:00"/>
    <d v="2024-12-19T00:00:00"/>
    <x v="0"/>
    <n v="26"/>
    <n v="11523"/>
  </r>
  <r>
    <x v="156"/>
    <x v="156"/>
    <x v="0"/>
    <x v="3"/>
    <n v="21096"/>
    <n v="49820.916141991132"/>
    <s v="Approved"/>
    <d v="2024-03-14T00:00:00"/>
    <d v="2023-02-16T00:00:00"/>
    <d v="2024-04-09T00:00:00"/>
    <x v="0"/>
    <n v="60"/>
    <n v="4292"/>
  </r>
  <r>
    <x v="157"/>
    <x v="157"/>
    <x v="3"/>
    <x v="3"/>
    <n v="69728"/>
    <n v="89010.896133079499"/>
    <s v="Pending"/>
    <d v="2024-10-17T00:00:00"/>
    <d v="2023-10-12T00:00:00"/>
    <d v="2024-12-19T00:00:00"/>
    <x v="0"/>
    <n v="32"/>
    <n v="3538"/>
  </r>
  <r>
    <x v="158"/>
    <x v="158"/>
    <x v="2"/>
    <x v="3"/>
    <n v="36016"/>
    <n v="39520.45475707591"/>
    <s v="Approved"/>
    <d v="2024-02-06T00:00:00"/>
    <d v="2023-11-22T00:00:00"/>
    <d v="2024-01-09T00:00:00"/>
    <x v="1"/>
    <n v="37"/>
    <n v="5408"/>
  </r>
  <r>
    <x v="159"/>
    <x v="159"/>
    <x v="1"/>
    <x v="2"/>
    <n v="13246"/>
    <n v="75806.663976222451"/>
    <s v="Approved"/>
    <d v="2024-02-26T00:00:00"/>
    <d v="2023-05-24T00:00:00"/>
    <d v="2024-10-06T00:00:00"/>
    <x v="0"/>
    <n v="56"/>
    <n v="9742"/>
  </r>
  <r>
    <x v="160"/>
    <x v="160"/>
    <x v="0"/>
    <x v="1"/>
    <n v="47558"/>
    <n v="0"/>
    <s v="Approved"/>
    <d v="2024-03-24T00:00:00"/>
    <d v="2023-09-26T00:00:00"/>
    <d v="2024-02-27T00:00:00"/>
    <x v="1"/>
    <n v="32"/>
    <n v="10752"/>
  </r>
  <r>
    <x v="161"/>
    <x v="161"/>
    <x v="2"/>
    <x v="4"/>
    <n v="20381"/>
    <n v="63472.736152996367"/>
    <s v="Approved"/>
    <d v="2024-06-29T00:00:00"/>
    <d v="2023-11-26T00:00:00"/>
    <d v="2024-05-22T00:00:00"/>
    <x v="1"/>
    <n v="55"/>
    <n v="11291"/>
  </r>
  <r>
    <x v="162"/>
    <x v="162"/>
    <x v="1"/>
    <x v="3"/>
    <n v="38455"/>
    <n v="44196.417750717039"/>
    <s v="Approved"/>
    <d v="2024-07-19T00:00:00"/>
    <d v="2023-12-12T00:00:00"/>
    <d v="2024-11-09T00:00:00"/>
    <x v="1"/>
    <n v="50"/>
    <n v="3903"/>
  </r>
  <r>
    <x v="163"/>
    <x v="163"/>
    <x v="1"/>
    <x v="0"/>
    <n v="94263"/>
    <n v="51466.811868112323"/>
    <s v="Approved"/>
    <d v="2024-02-08T00:00:00"/>
    <d v="2023-01-31T00:00:00"/>
    <d v="2024-09-17T00:00:00"/>
    <x v="0"/>
    <n v="21"/>
    <n v="2174"/>
  </r>
  <r>
    <x v="164"/>
    <x v="164"/>
    <x v="3"/>
    <x v="3"/>
    <n v="6018"/>
    <n v="32462.857490163049"/>
    <s v="Approved"/>
    <d v="2024-10-22T00:00:00"/>
    <d v="2023-02-24T00:00:00"/>
    <d v="2024-11-16T00:00:00"/>
    <x v="0"/>
    <n v="35"/>
    <n v="12348"/>
  </r>
  <r>
    <x v="165"/>
    <x v="165"/>
    <x v="2"/>
    <x v="0"/>
    <n v="13302"/>
    <n v="1966.9983293660041"/>
    <s v="Approved"/>
    <d v="2024-01-14T00:00:00"/>
    <d v="2023-07-08T00:00:00"/>
    <d v="2024-09-06T00:00:00"/>
    <x v="1"/>
    <n v="28"/>
    <n v="4230"/>
  </r>
  <r>
    <x v="166"/>
    <x v="166"/>
    <x v="1"/>
    <x v="2"/>
    <n v="69506"/>
    <n v="48159.948406388627"/>
    <s v="Pending"/>
    <d v="2024-09-20T00:00:00"/>
    <d v="2023-07-18T00:00:00"/>
    <d v="2024-03-13T00:00:00"/>
    <x v="1"/>
    <n v="28"/>
    <n v="6287"/>
  </r>
  <r>
    <x v="167"/>
    <x v="167"/>
    <x v="0"/>
    <x v="0"/>
    <n v="43157"/>
    <n v="26725.60791062846"/>
    <s v="Approved"/>
    <d v="2024-09-01T00:00:00"/>
    <d v="2023-07-28T00:00:00"/>
    <d v="2024-07-23T00:00:00"/>
    <x v="1"/>
    <n v="57"/>
    <n v="6160"/>
  </r>
  <r>
    <x v="168"/>
    <x v="168"/>
    <x v="0"/>
    <x v="4"/>
    <n v="56917"/>
    <n v="23108.488466763429"/>
    <s v="Approved"/>
    <d v="2024-05-28T00:00:00"/>
    <d v="2023-10-13T00:00:00"/>
    <d v="2024-05-07T00:00:00"/>
    <x v="0"/>
    <n v="30"/>
    <n v="14112"/>
  </r>
  <r>
    <x v="169"/>
    <x v="169"/>
    <x v="3"/>
    <x v="1"/>
    <n v="94738"/>
    <n v="61566.845699932921"/>
    <s v="Approved"/>
    <d v="2024-03-08T00:00:00"/>
    <d v="2023-11-15T00:00:00"/>
    <d v="2024-01-28T00:00:00"/>
    <x v="1"/>
    <n v="41"/>
    <n v="9106"/>
  </r>
  <r>
    <x v="170"/>
    <x v="170"/>
    <x v="1"/>
    <x v="0"/>
    <n v="98646"/>
    <n v="30022.055337629979"/>
    <s v="Rejected"/>
    <d v="2024-03-09T00:00:00"/>
    <d v="2023-08-05T00:00:00"/>
    <d v="2024-12-21T00:00:00"/>
    <x v="0"/>
    <n v="52"/>
    <n v="11689"/>
  </r>
  <r>
    <x v="171"/>
    <x v="171"/>
    <x v="2"/>
    <x v="0"/>
    <n v="85122"/>
    <n v="24654.03313366104"/>
    <s v="Approved"/>
    <d v="2024-09-27T00:00:00"/>
    <d v="2023-02-12T00:00:00"/>
    <d v="2024-01-04T00:00:00"/>
    <x v="1"/>
    <n v="55"/>
    <n v="14046"/>
  </r>
  <r>
    <x v="172"/>
    <x v="172"/>
    <x v="0"/>
    <x v="1"/>
    <n v="26519"/>
    <n v="80651.891106861804"/>
    <s v="Approved"/>
    <d v="2024-08-23T00:00:00"/>
    <d v="2023-02-14T00:00:00"/>
    <d v="2024-04-29T00:00:00"/>
    <x v="1"/>
    <n v="64"/>
    <n v="5171"/>
  </r>
  <r>
    <x v="173"/>
    <x v="173"/>
    <x v="1"/>
    <x v="4"/>
    <n v="98809"/>
    <n v="52209.657179922768"/>
    <s v="Pending"/>
    <d v="2024-05-31T00:00:00"/>
    <d v="2023-02-16T00:00:00"/>
    <d v="2024-10-29T00:00:00"/>
    <x v="1"/>
    <n v="42"/>
    <n v="3567"/>
  </r>
  <r>
    <x v="174"/>
    <x v="174"/>
    <x v="1"/>
    <x v="3"/>
    <n v="89487"/>
    <n v="45240.649935396068"/>
    <s v="Pending"/>
    <d v="2024-09-08T00:00:00"/>
    <d v="2023-06-09T00:00:00"/>
    <d v="2024-05-06T00:00:00"/>
    <x v="0"/>
    <n v="64"/>
    <n v="3151"/>
  </r>
  <r>
    <x v="175"/>
    <x v="175"/>
    <x v="3"/>
    <x v="0"/>
    <n v="58819"/>
    <n v="49855.03110609344"/>
    <s v="Approved"/>
    <d v="2024-05-18T00:00:00"/>
    <d v="2023-12-08T00:00:00"/>
    <d v="2024-02-29T00:00:00"/>
    <x v="0"/>
    <n v="64"/>
    <n v="9619"/>
  </r>
  <r>
    <x v="176"/>
    <x v="176"/>
    <x v="0"/>
    <x v="1"/>
    <n v="82910"/>
    <n v="51456.325488369657"/>
    <s v="Pending"/>
    <d v="2024-02-04T00:00:00"/>
    <d v="2023-04-03T00:00:00"/>
    <d v="2024-05-21T00:00:00"/>
    <x v="1"/>
    <n v="53"/>
    <n v="8033"/>
  </r>
  <r>
    <x v="177"/>
    <x v="177"/>
    <x v="0"/>
    <x v="2"/>
    <n v="73324"/>
    <n v="31427.962892396481"/>
    <s v="Approved"/>
    <d v="2024-08-17T00:00:00"/>
    <d v="2023-01-30T00:00:00"/>
    <d v="2024-02-03T00:00:00"/>
    <x v="0"/>
    <n v="28"/>
    <n v="10560"/>
  </r>
  <r>
    <x v="178"/>
    <x v="178"/>
    <x v="2"/>
    <x v="1"/>
    <n v="7408"/>
    <n v="0"/>
    <s v="Approved"/>
    <d v="2024-02-03T00:00:00"/>
    <d v="2023-02-28T00:00:00"/>
    <d v="2024-03-12T00:00:00"/>
    <x v="1"/>
    <n v="43"/>
    <n v="6946"/>
  </r>
  <r>
    <x v="179"/>
    <x v="179"/>
    <x v="0"/>
    <x v="2"/>
    <n v="61379"/>
    <n v="54457.251615549183"/>
    <s v="Approved"/>
    <d v="2024-03-03T00:00:00"/>
    <d v="2023-11-16T00:00:00"/>
    <d v="2024-07-06T00:00:00"/>
    <x v="0"/>
    <n v="27"/>
    <n v="10234"/>
  </r>
  <r>
    <x v="180"/>
    <x v="180"/>
    <x v="2"/>
    <x v="4"/>
    <n v="27053"/>
    <n v="21727.633134673099"/>
    <s v="Approved"/>
    <d v="2024-02-22T00:00:00"/>
    <d v="2023-12-15T00:00:00"/>
    <d v="2024-12-02T00:00:00"/>
    <x v="0"/>
    <n v="26"/>
    <n v="3907"/>
  </r>
  <r>
    <x v="181"/>
    <x v="181"/>
    <x v="0"/>
    <x v="3"/>
    <n v="11446"/>
    <n v="78943.6469531904"/>
    <s v="Pending"/>
    <d v="2024-03-08T00:00:00"/>
    <d v="2023-11-29T00:00:00"/>
    <d v="2024-03-25T00:00:00"/>
    <x v="0"/>
    <n v="55"/>
    <n v="5490"/>
  </r>
  <r>
    <x v="182"/>
    <x v="182"/>
    <x v="3"/>
    <x v="1"/>
    <n v="2922"/>
    <n v="23310.528210011711"/>
    <s v="Approved"/>
    <d v="2024-06-03T00:00:00"/>
    <d v="2023-01-17T00:00:00"/>
    <d v="2024-04-26T00:00:00"/>
    <x v="1"/>
    <n v="37"/>
    <n v="4535"/>
  </r>
  <r>
    <x v="183"/>
    <x v="183"/>
    <x v="0"/>
    <x v="0"/>
    <n v="53356"/>
    <n v="57168.033009433319"/>
    <s v="Approved"/>
    <d v="2024-08-16T00:00:00"/>
    <d v="2023-08-17T00:00:00"/>
    <d v="2024-03-01T00:00:00"/>
    <x v="0"/>
    <n v="22"/>
    <n v="6173"/>
  </r>
  <r>
    <x v="184"/>
    <x v="184"/>
    <x v="2"/>
    <x v="4"/>
    <n v="12789"/>
    <n v="50311.398716277698"/>
    <s v="Pending"/>
    <d v="2024-03-06T00:00:00"/>
    <d v="2023-05-22T00:00:00"/>
    <d v="2024-02-19T00:00:00"/>
    <x v="0"/>
    <n v="47"/>
    <n v="13065"/>
  </r>
  <r>
    <x v="185"/>
    <x v="185"/>
    <x v="2"/>
    <x v="1"/>
    <n v="99720"/>
    <n v="27771.564361914021"/>
    <s v="Pending"/>
    <d v="2024-04-21T00:00:00"/>
    <d v="2023-06-16T00:00:00"/>
    <d v="2024-04-26T00:00:00"/>
    <x v="1"/>
    <n v="25"/>
    <n v="12016"/>
  </r>
  <r>
    <x v="186"/>
    <x v="186"/>
    <x v="3"/>
    <x v="0"/>
    <n v="68656"/>
    <n v="40280.277274590837"/>
    <s v="Approved"/>
    <d v="2024-05-04T00:00:00"/>
    <d v="2023-03-08T00:00:00"/>
    <d v="2024-02-25T00:00:00"/>
    <x v="1"/>
    <n v="63"/>
    <n v="3293"/>
  </r>
  <r>
    <x v="187"/>
    <x v="187"/>
    <x v="0"/>
    <x v="1"/>
    <n v="46028"/>
    <n v="12790.847378132061"/>
    <s v="Approved"/>
    <d v="2024-10-14T00:00:00"/>
    <d v="2023-07-09T00:00:00"/>
    <d v="2024-08-13T00:00:00"/>
    <x v="1"/>
    <n v="63"/>
    <n v="6769"/>
  </r>
  <r>
    <x v="188"/>
    <x v="188"/>
    <x v="0"/>
    <x v="2"/>
    <n v="66484"/>
    <n v="0"/>
    <s v="Approved"/>
    <d v="2024-01-14T00:00:00"/>
    <d v="2023-12-31T00:00:00"/>
    <d v="2024-11-11T00:00:00"/>
    <x v="1"/>
    <n v="40"/>
    <n v="6796"/>
  </r>
  <r>
    <x v="189"/>
    <x v="189"/>
    <x v="3"/>
    <x v="1"/>
    <n v="34154"/>
    <n v="42550.221007914974"/>
    <s v="Pending"/>
    <d v="2024-08-30T00:00:00"/>
    <d v="2023-10-10T00:00:00"/>
    <d v="2024-08-01T00:00:00"/>
    <x v="0"/>
    <n v="47"/>
    <n v="8871"/>
  </r>
  <r>
    <x v="190"/>
    <x v="190"/>
    <x v="0"/>
    <x v="1"/>
    <n v="84870"/>
    <n v="56563.178960036537"/>
    <s v="Approved"/>
    <d v="2024-04-16T00:00:00"/>
    <d v="2023-02-25T00:00:00"/>
    <d v="2024-05-05T00:00:00"/>
    <x v="0"/>
    <n v="59"/>
    <n v="13578"/>
  </r>
  <r>
    <x v="191"/>
    <x v="191"/>
    <x v="0"/>
    <x v="1"/>
    <n v="4336"/>
    <n v="45367.006488754938"/>
    <s v="Rejected"/>
    <d v="2024-09-16T00:00:00"/>
    <d v="2023-04-03T00:00:00"/>
    <d v="2024-11-10T00:00:00"/>
    <x v="0"/>
    <n v="20"/>
    <n v="4972"/>
  </r>
  <r>
    <x v="192"/>
    <x v="192"/>
    <x v="2"/>
    <x v="4"/>
    <n v="69779"/>
    <n v="56835.930256329892"/>
    <s v="Approved"/>
    <d v="2024-06-21T00:00:00"/>
    <d v="2023-07-17T00:00:00"/>
    <d v="2024-12-09T00:00:00"/>
    <x v="0"/>
    <n v="55"/>
    <n v="5922"/>
  </r>
  <r>
    <x v="193"/>
    <x v="193"/>
    <x v="0"/>
    <x v="1"/>
    <n v="21029"/>
    <n v="35919.748741418181"/>
    <s v="Approved"/>
    <d v="2024-09-13T00:00:00"/>
    <d v="2023-05-01T00:00:00"/>
    <d v="2024-12-13T00:00:00"/>
    <x v="0"/>
    <n v="40"/>
    <n v="6997"/>
  </r>
  <r>
    <x v="194"/>
    <x v="194"/>
    <x v="0"/>
    <x v="0"/>
    <n v="61201"/>
    <n v="70179.127241785449"/>
    <s v="Approved"/>
    <d v="2024-04-02T00:00:00"/>
    <d v="2023-10-28T00:00:00"/>
    <d v="2024-06-02T00:00:00"/>
    <x v="1"/>
    <n v="62"/>
    <n v="9032"/>
  </r>
  <r>
    <x v="195"/>
    <x v="195"/>
    <x v="3"/>
    <x v="2"/>
    <n v="34265"/>
    <n v="45760.536434279791"/>
    <s v="Approved"/>
    <d v="2024-05-26T00:00:00"/>
    <d v="2023-09-06T00:00:00"/>
    <d v="2024-11-22T00:00:00"/>
    <x v="0"/>
    <n v="54"/>
    <n v="2992"/>
  </r>
  <r>
    <x v="196"/>
    <x v="196"/>
    <x v="3"/>
    <x v="2"/>
    <n v="45872"/>
    <n v="19757.485259324079"/>
    <s v="Approved"/>
    <d v="2024-09-27T00:00:00"/>
    <d v="2023-02-11T00:00:00"/>
    <d v="2024-09-12T00:00:00"/>
    <x v="0"/>
    <n v="32"/>
    <n v="10112"/>
  </r>
  <r>
    <x v="197"/>
    <x v="197"/>
    <x v="1"/>
    <x v="1"/>
    <n v="48197"/>
    <n v="0"/>
    <s v="Rejected"/>
    <d v="2024-03-30T00:00:00"/>
    <d v="2023-05-21T00:00:00"/>
    <d v="2024-02-27T00:00:00"/>
    <x v="0"/>
    <n v="68"/>
    <n v="7287"/>
  </r>
  <r>
    <x v="198"/>
    <x v="198"/>
    <x v="2"/>
    <x v="4"/>
    <n v="57180"/>
    <n v="25673.188276108711"/>
    <s v="Approved"/>
    <d v="2024-09-25T00:00:00"/>
    <d v="2023-05-17T00:00:00"/>
    <d v="2024-08-14T00:00:00"/>
    <x v="1"/>
    <n v="29"/>
    <n v="12578"/>
  </r>
  <r>
    <x v="199"/>
    <x v="199"/>
    <x v="0"/>
    <x v="4"/>
    <n v="25710"/>
    <n v="39769.043286352178"/>
    <s v="Approved"/>
    <d v="2024-08-05T00:00:00"/>
    <d v="2023-05-25T00:00:00"/>
    <d v="2024-10-03T00:00:00"/>
    <x v="1"/>
    <n v="63"/>
    <n v="4240"/>
  </r>
  <r>
    <x v="200"/>
    <x v="200"/>
    <x v="0"/>
    <x v="0"/>
    <n v="31486"/>
    <n v="4983.0212325508473"/>
    <s v="Pending"/>
    <d v="2024-07-20T00:00:00"/>
    <d v="2023-04-20T00:00:00"/>
    <d v="2024-09-15T00:00:00"/>
    <x v="0"/>
    <n v="66"/>
    <n v="3476"/>
  </r>
  <r>
    <x v="201"/>
    <x v="201"/>
    <x v="1"/>
    <x v="1"/>
    <n v="73907"/>
    <n v="72891.844159347078"/>
    <s v="Approved"/>
    <d v="2024-08-20T00:00:00"/>
    <d v="2023-05-29T00:00:00"/>
    <d v="2024-12-03T00:00:00"/>
    <x v="1"/>
    <n v="29"/>
    <n v="8426"/>
  </r>
  <r>
    <x v="202"/>
    <x v="202"/>
    <x v="0"/>
    <x v="2"/>
    <n v="73895"/>
    <n v="15076.185836034359"/>
    <s v="Pending"/>
    <d v="2024-03-21T00:00:00"/>
    <d v="2023-08-26T00:00:00"/>
    <d v="2024-11-22T00:00:00"/>
    <x v="1"/>
    <n v="65"/>
    <n v="13599"/>
  </r>
  <r>
    <x v="203"/>
    <x v="203"/>
    <x v="2"/>
    <x v="4"/>
    <n v="66435"/>
    <n v="21509.279545196339"/>
    <s v="Approved"/>
    <d v="2024-10-24T00:00:00"/>
    <d v="2023-09-25T00:00:00"/>
    <d v="2024-07-12T00:00:00"/>
    <x v="1"/>
    <n v="32"/>
    <n v="2389"/>
  </r>
  <r>
    <x v="204"/>
    <x v="204"/>
    <x v="1"/>
    <x v="1"/>
    <n v="42631"/>
    <n v="16059.19526889776"/>
    <s v="Approved"/>
    <d v="2024-02-15T00:00:00"/>
    <d v="2023-07-05T00:00:00"/>
    <d v="2024-05-05T00:00:00"/>
    <x v="1"/>
    <n v="56"/>
    <n v="2999"/>
  </r>
  <r>
    <x v="205"/>
    <x v="205"/>
    <x v="2"/>
    <x v="4"/>
    <n v="22103"/>
    <n v="16928.117271504561"/>
    <s v="Approved"/>
    <d v="2024-01-18T00:00:00"/>
    <d v="2023-12-13T00:00:00"/>
    <d v="2024-07-13T00:00:00"/>
    <x v="1"/>
    <n v="57"/>
    <n v="14812"/>
  </r>
  <r>
    <x v="206"/>
    <x v="206"/>
    <x v="1"/>
    <x v="4"/>
    <n v="66772"/>
    <n v="8103.7201875105438"/>
    <s v="Approved"/>
    <d v="2024-03-06T00:00:00"/>
    <d v="2023-12-09T00:00:00"/>
    <d v="2024-08-03T00:00:00"/>
    <x v="1"/>
    <n v="43"/>
    <n v="3855"/>
  </r>
  <r>
    <x v="207"/>
    <x v="207"/>
    <x v="1"/>
    <x v="2"/>
    <n v="16382"/>
    <n v="48441.141135198093"/>
    <s v="Rejected"/>
    <d v="2024-10-21T00:00:00"/>
    <d v="2023-04-07T00:00:00"/>
    <d v="2024-12-08T00:00:00"/>
    <x v="1"/>
    <n v="21"/>
    <n v="10125"/>
  </r>
  <r>
    <x v="208"/>
    <x v="208"/>
    <x v="3"/>
    <x v="3"/>
    <n v="86291"/>
    <n v="0"/>
    <s v="Approved"/>
    <d v="2024-09-02T00:00:00"/>
    <d v="2023-09-20T00:00:00"/>
    <d v="2024-02-04T00:00:00"/>
    <x v="0"/>
    <n v="41"/>
    <n v="10850"/>
  </r>
  <r>
    <x v="209"/>
    <x v="209"/>
    <x v="2"/>
    <x v="0"/>
    <n v="5756"/>
    <n v="6927.1847871243453"/>
    <s v="Approved"/>
    <d v="2024-08-01T00:00:00"/>
    <d v="2023-03-08T00:00:00"/>
    <d v="2024-06-25T00:00:00"/>
    <x v="0"/>
    <n v="36"/>
    <n v="4763"/>
  </r>
  <r>
    <x v="210"/>
    <x v="210"/>
    <x v="0"/>
    <x v="0"/>
    <n v="22609"/>
    <n v="0"/>
    <s v="Approved"/>
    <d v="2024-02-12T00:00:00"/>
    <d v="2023-07-02T00:00:00"/>
    <d v="2024-07-03T00:00:00"/>
    <x v="1"/>
    <n v="55"/>
    <n v="5663"/>
  </r>
  <r>
    <x v="211"/>
    <x v="211"/>
    <x v="0"/>
    <x v="2"/>
    <n v="18478"/>
    <n v="43102.999269597647"/>
    <s v="Approved"/>
    <d v="2024-06-07T00:00:00"/>
    <d v="2023-09-05T00:00:00"/>
    <d v="2024-08-29T00:00:00"/>
    <x v="0"/>
    <n v="33"/>
    <n v="6986"/>
  </r>
  <r>
    <x v="212"/>
    <x v="212"/>
    <x v="2"/>
    <x v="4"/>
    <n v="41666"/>
    <n v="56588.104563725552"/>
    <s v="Pending"/>
    <d v="2024-01-17T00:00:00"/>
    <d v="2023-11-25T00:00:00"/>
    <d v="2024-04-05T00:00:00"/>
    <x v="0"/>
    <n v="29"/>
    <n v="3481"/>
  </r>
  <r>
    <x v="213"/>
    <x v="213"/>
    <x v="0"/>
    <x v="1"/>
    <n v="77683"/>
    <n v="61276.37493755194"/>
    <s v="Approved"/>
    <d v="2024-03-13T00:00:00"/>
    <d v="2023-09-14T00:00:00"/>
    <d v="2024-01-17T00:00:00"/>
    <x v="1"/>
    <n v="54"/>
    <n v="9256"/>
  </r>
  <r>
    <x v="214"/>
    <x v="214"/>
    <x v="0"/>
    <x v="4"/>
    <n v="73315"/>
    <n v="32778.262904004201"/>
    <s v="Approved"/>
    <d v="2024-04-05T00:00:00"/>
    <d v="2023-12-19T00:00:00"/>
    <d v="2024-07-07T00:00:00"/>
    <x v="0"/>
    <n v="44"/>
    <n v="5731"/>
  </r>
  <r>
    <x v="215"/>
    <x v="215"/>
    <x v="2"/>
    <x v="2"/>
    <n v="79834"/>
    <n v="0"/>
    <s v="Rejected"/>
    <d v="2024-10-11T00:00:00"/>
    <d v="2023-04-13T00:00:00"/>
    <d v="2024-06-13T00:00:00"/>
    <x v="1"/>
    <n v="22"/>
    <n v="9262"/>
  </r>
  <r>
    <x v="216"/>
    <x v="216"/>
    <x v="1"/>
    <x v="0"/>
    <n v="16153"/>
    <n v="15247.31436839814"/>
    <s v="Approved"/>
    <d v="2024-08-17T00:00:00"/>
    <d v="2023-12-13T00:00:00"/>
    <d v="2024-10-14T00:00:00"/>
    <x v="1"/>
    <n v="66"/>
    <n v="2451"/>
  </r>
  <r>
    <x v="217"/>
    <x v="217"/>
    <x v="2"/>
    <x v="4"/>
    <n v="78325"/>
    <n v="72327.779341987945"/>
    <s v="Rejected"/>
    <d v="2024-02-14T00:00:00"/>
    <d v="2023-07-12T00:00:00"/>
    <d v="2024-07-20T00:00:00"/>
    <x v="1"/>
    <n v="57"/>
    <n v="12667"/>
  </r>
  <r>
    <x v="218"/>
    <x v="218"/>
    <x v="1"/>
    <x v="0"/>
    <n v="14999"/>
    <n v="25825.846271245631"/>
    <s v="Approved"/>
    <d v="2024-06-02T00:00:00"/>
    <d v="2023-12-21T00:00:00"/>
    <d v="2024-05-16T00:00:00"/>
    <x v="0"/>
    <n v="36"/>
    <n v="13414"/>
  </r>
  <r>
    <x v="219"/>
    <x v="219"/>
    <x v="0"/>
    <x v="1"/>
    <n v="57318"/>
    <n v="26829.805142121819"/>
    <s v="Approved"/>
    <d v="2024-05-18T00:00:00"/>
    <d v="2023-05-08T00:00:00"/>
    <d v="2024-02-06T00:00:00"/>
    <x v="0"/>
    <n v="31"/>
    <n v="11729"/>
  </r>
  <r>
    <x v="220"/>
    <x v="220"/>
    <x v="0"/>
    <x v="0"/>
    <n v="2814"/>
    <n v="55796.571653980027"/>
    <s v="Approved"/>
    <d v="2024-03-01T00:00:00"/>
    <d v="2023-01-14T00:00:00"/>
    <d v="2024-09-27T00:00:00"/>
    <x v="0"/>
    <n v="43"/>
    <n v="5093"/>
  </r>
  <r>
    <x v="221"/>
    <x v="221"/>
    <x v="0"/>
    <x v="0"/>
    <n v="78077"/>
    <n v="35850.623421423341"/>
    <s v="Pending"/>
    <d v="2024-06-15T00:00:00"/>
    <d v="2023-05-25T00:00:00"/>
    <d v="2024-12-28T00:00:00"/>
    <x v="0"/>
    <n v="48"/>
    <n v="2882"/>
  </r>
  <r>
    <x v="222"/>
    <x v="222"/>
    <x v="3"/>
    <x v="3"/>
    <n v="92474"/>
    <n v="11398.478651019221"/>
    <s v="Rejected"/>
    <d v="2024-03-26T00:00:00"/>
    <d v="2023-09-12T00:00:00"/>
    <d v="2024-09-11T00:00:00"/>
    <x v="1"/>
    <n v="62"/>
    <n v="6408"/>
  </r>
  <r>
    <x v="223"/>
    <x v="223"/>
    <x v="1"/>
    <x v="3"/>
    <n v="4443"/>
    <n v="82898.658846950973"/>
    <s v="Approved"/>
    <d v="2024-08-25T00:00:00"/>
    <d v="2023-01-07T00:00:00"/>
    <d v="2024-02-06T00:00:00"/>
    <x v="1"/>
    <n v="44"/>
    <n v="6068"/>
  </r>
  <r>
    <x v="224"/>
    <x v="224"/>
    <x v="3"/>
    <x v="3"/>
    <n v="77993"/>
    <n v="23535.592248056961"/>
    <s v="Approved"/>
    <d v="2024-01-03T00:00:00"/>
    <d v="2023-02-13T00:00:00"/>
    <d v="2024-03-09T00:00:00"/>
    <x v="0"/>
    <n v="55"/>
    <n v="12758"/>
  </r>
  <r>
    <x v="225"/>
    <x v="225"/>
    <x v="3"/>
    <x v="0"/>
    <n v="77916"/>
    <n v="52497.417258584253"/>
    <s v="Approved"/>
    <d v="2024-07-16T00:00:00"/>
    <d v="2023-09-20T00:00:00"/>
    <d v="2024-12-03T00:00:00"/>
    <x v="1"/>
    <n v="45"/>
    <n v="5277"/>
  </r>
  <r>
    <x v="226"/>
    <x v="226"/>
    <x v="2"/>
    <x v="2"/>
    <n v="75319"/>
    <n v="16021.500168080151"/>
    <s v="Approved"/>
    <d v="2024-04-04T00:00:00"/>
    <d v="2023-01-18T00:00:00"/>
    <d v="2024-03-23T00:00:00"/>
    <x v="1"/>
    <n v="57"/>
    <n v="10566"/>
  </r>
  <r>
    <x v="227"/>
    <x v="227"/>
    <x v="3"/>
    <x v="0"/>
    <n v="19368"/>
    <n v="44984.980629165562"/>
    <s v="Approved"/>
    <d v="2024-03-10T00:00:00"/>
    <d v="2023-10-24T00:00:00"/>
    <d v="2024-12-17T00:00:00"/>
    <x v="0"/>
    <n v="20"/>
    <n v="14738"/>
  </r>
  <r>
    <x v="228"/>
    <x v="228"/>
    <x v="2"/>
    <x v="2"/>
    <n v="17328"/>
    <n v="28484.22748938706"/>
    <s v="Rejected"/>
    <d v="2024-08-20T00:00:00"/>
    <d v="2023-08-14T00:00:00"/>
    <d v="2024-11-03T00:00:00"/>
    <x v="1"/>
    <n v="39"/>
    <n v="13889"/>
  </r>
  <r>
    <x v="229"/>
    <x v="229"/>
    <x v="2"/>
    <x v="2"/>
    <n v="58942"/>
    <n v="47381.836747738947"/>
    <s v="Approved"/>
    <d v="2024-07-11T00:00:00"/>
    <d v="2023-05-01T00:00:00"/>
    <d v="2024-02-17T00:00:00"/>
    <x v="0"/>
    <n v="47"/>
    <n v="9951"/>
  </r>
  <r>
    <x v="230"/>
    <x v="230"/>
    <x v="3"/>
    <x v="3"/>
    <n v="93751"/>
    <n v="42472.676446420272"/>
    <s v="Approved"/>
    <d v="2024-02-13T00:00:00"/>
    <d v="2023-09-18T00:00:00"/>
    <d v="2024-11-06T00:00:00"/>
    <x v="1"/>
    <n v="35"/>
    <n v="13254"/>
  </r>
  <r>
    <x v="231"/>
    <x v="231"/>
    <x v="1"/>
    <x v="4"/>
    <n v="29306"/>
    <n v="43700.420988487327"/>
    <s v="Approved"/>
    <d v="2024-09-22T00:00:00"/>
    <d v="2023-01-05T00:00:00"/>
    <d v="2024-10-17T00:00:00"/>
    <x v="0"/>
    <n v="66"/>
    <n v="6690"/>
  </r>
  <r>
    <x v="232"/>
    <x v="232"/>
    <x v="1"/>
    <x v="1"/>
    <n v="87451"/>
    <n v="62886.980799784957"/>
    <s v="Approved"/>
    <d v="2024-05-14T00:00:00"/>
    <d v="2023-11-09T00:00:00"/>
    <d v="2024-08-28T00:00:00"/>
    <x v="1"/>
    <n v="36"/>
    <n v="13442"/>
  </r>
  <r>
    <x v="233"/>
    <x v="233"/>
    <x v="1"/>
    <x v="3"/>
    <n v="41915"/>
    <n v="22157.708286341742"/>
    <s v="Approved"/>
    <d v="2024-05-23T00:00:00"/>
    <d v="2023-12-02T00:00:00"/>
    <d v="2024-11-19T00:00:00"/>
    <x v="1"/>
    <n v="59"/>
    <n v="6595"/>
  </r>
  <r>
    <x v="234"/>
    <x v="234"/>
    <x v="1"/>
    <x v="3"/>
    <n v="39219"/>
    <n v="19551.342934540909"/>
    <s v="Approved"/>
    <d v="2024-06-13T00:00:00"/>
    <d v="2023-08-10T00:00:00"/>
    <d v="2024-04-04T00:00:00"/>
    <x v="0"/>
    <n v="47"/>
    <n v="6559"/>
  </r>
  <r>
    <x v="235"/>
    <x v="235"/>
    <x v="1"/>
    <x v="4"/>
    <n v="82879"/>
    <n v="43432.036863662113"/>
    <s v="Pending"/>
    <d v="2024-06-28T00:00:00"/>
    <d v="2023-12-31T00:00:00"/>
    <d v="2024-02-12T00:00:00"/>
    <x v="0"/>
    <n v="31"/>
    <n v="9291"/>
  </r>
  <r>
    <x v="236"/>
    <x v="236"/>
    <x v="3"/>
    <x v="1"/>
    <n v="66644"/>
    <n v="53955.800586543199"/>
    <s v="Approved"/>
    <d v="2024-01-01T00:00:00"/>
    <d v="2023-01-11T00:00:00"/>
    <d v="2024-03-21T00:00:00"/>
    <x v="0"/>
    <n v="46"/>
    <n v="10160"/>
  </r>
  <r>
    <x v="237"/>
    <x v="237"/>
    <x v="3"/>
    <x v="0"/>
    <n v="62279"/>
    <n v="12073.33115256909"/>
    <s v="Approved"/>
    <d v="2024-01-19T00:00:00"/>
    <d v="2023-09-09T00:00:00"/>
    <d v="2024-02-29T00:00:00"/>
    <x v="0"/>
    <n v="61"/>
    <n v="2112"/>
  </r>
  <r>
    <x v="238"/>
    <x v="238"/>
    <x v="0"/>
    <x v="0"/>
    <n v="55028"/>
    <n v="3815.959568392665"/>
    <s v="Approved"/>
    <d v="2024-04-25T00:00:00"/>
    <d v="2023-09-27T00:00:00"/>
    <d v="2024-08-04T00:00:00"/>
    <x v="1"/>
    <n v="66"/>
    <n v="7131"/>
  </r>
  <r>
    <x v="239"/>
    <x v="239"/>
    <x v="1"/>
    <x v="3"/>
    <n v="2126"/>
    <n v="51477.790163358128"/>
    <s v="Pending"/>
    <d v="2024-05-03T00:00:00"/>
    <d v="2023-03-02T00:00:00"/>
    <d v="2024-12-05T00:00:00"/>
    <x v="1"/>
    <n v="49"/>
    <n v="5197"/>
  </r>
  <r>
    <x v="240"/>
    <x v="240"/>
    <x v="3"/>
    <x v="1"/>
    <n v="54329"/>
    <n v="36816.213777696132"/>
    <s v="Pending"/>
    <d v="2024-07-29T00:00:00"/>
    <d v="2023-10-04T00:00:00"/>
    <d v="2024-02-20T00:00:00"/>
    <x v="0"/>
    <n v="60"/>
    <n v="12570"/>
  </r>
  <r>
    <x v="241"/>
    <x v="241"/>
    <x v="0"/>
    <x v="3"/>
    <n v="29632"/>
    <n v="69147.310942517157"/>
    <s v="Approved"/>
    <d v="2024-06-04T00:00:00"/>
    <d v="2023-01-29T00:00:00"/>
    <d v="2024-12-02T00:00:00"/>
    <x v="1"/>
    <n v="53"/>
    <n v="12116"/>
  </r>
  <r>
    <x v="242"/>
    <x v="242"/>
    <x v="1"/>
    <x v="2"/>
    <n v="67310"/>
    <n v="9955.4839780990769"/>
    <s v="Pending"/>
    <d v="2024-10-19T00:00:00"/>
    <d v="2023-09-12T00:00:00"/>
    <d v="2024-05-16T00:00:00"/>
    <x v="0"/>
    <n v="56"/>
    <n v="2139"/>
  </r>
  <r>
    <x v="243"/>
    <x v="243"/>
    <x v="2"/>
    <x v="3"/>
    <n v="57176"/>
    <n v="0"/>
    <s v="Approved"/>
    <d v="2024-01-04T00:00:00"/>
    <d v="2023-04-06T00:00:00"/>
    <d v="2024-08-03T00:00:00"/>
    <x v="0"/>
    <n v="25"/>
    <n v="3424"/>
  </r>
  <r>
    <x v="244"/>
    <x v="244"/>
    <x v="0"/>
    <x v="3"/>
    <n v="88066"/>
    <n v="42653.869373243993"/>
    <s v="Approved"/>
    <d v="2024-09-26T00:00:00"/>
    <d v="2023-08-26T00:00:00"/>
    <d v="2024-05-24T00:00:00"/>
    <x v="1"/>
    <n v="26"/>
    <n v="4949"/>
  </r>
  <r>
    <x v="245"/>
    <x v="245"/>
    <x v="3"/>
    <x v="0"/>
    <n v="46327"/>
    <n v="63639.641333195214"/>
    <s v="Approved"/>
    <d v="2024-01-12T00:00:00"/>
    <d v="2023-05-12T00:00:00"/>
    <d v="2024-03-12T00:00:00"/>
    <x v="1"/>
    <n v="51"/>
    <n v="5168"/>
  </r>
  <r>
    <x v="246"/>
    <x v="246"/>
    <x v="2"/>
    <x v="0"/>
    <n v="70904"/>
    <n v="82123.376765415887"/>
    <s v="Approved"/>
    <d v="2024-09-12T00:00:00"/>
    <d v="2023-07-04T00:00:00"/>
    <d v="2024-05-31T00:00:00"/>
    <x v="0"/>
    <n v="51"/>
    <n v="10708"/>
  </r>
  <r>
    <x v="247"/>
    <x v="247"/>
    <x v="2"/>
    <x v="0"/>
    <n v="5797"/>
    <n v="32914.682970554917"/>
    <s v="Approved"/>
    <d v="2024-07-31T00:00:00"/>
    <d v="2023-12-01T00:00:00"/>
    <d v="2024-02-12T00:00:00"/>
    <x v="0"/>
    <n v="44"/>
    <n v="12808"/>
  </r>
  <r>
    <x v="248"/>
    <x v="248"/>
    <x v="2"/>
    <x v="2"/>
    <n v="49882"/>
    <n v="9881.0329075439513"/>
    <s v="Rejected"/>
    <d v="2024-08-07T00:00:00"/>
    <d v="2023-03-07T00:00:00"/>
    <d v="2024-09-01T00:00:00"/>
    <x v="0"/>
    <n v="52"/>
    <n v="8043"/>
  </r>
  <r>
    <x v="249"/>
    <x v="249"/>
    <x v="0"/>
    <x v="0"/>
    <n v="15718"/>
    <n v="3314.507719365125"/>
    <s v="Pending"/>
    <d v="2024-10-09T00:00:00"/>
    <d v="2023-06-28T00:00:00"/>
    <d v="2024-02-13T00:00:00"/>
    <x v="1"/>
    <n v="26"/>
    <n v="8989"/>
  </r>
  <r>
    <x v="250"/>
    <x v="250"/>
    <x v="3"/>
    <x v="1"/>
    <n v="36560"/>
    <n v="81942.97205572181"/>
    <s v="Approved"/>
    <d v="2024-06-09T00:00:00"/>
    <d v="2023-07-08T00:00:00"/>
    <d v="2024-12-29T00:00:00"/>
    <x v="1"/>
    <n v="31"/>
    <n v="9236"/>
  </r>
  <r>
    <x v="251"/>
    <x v="251"/>
    <x v="2"/>
    <x v="4"/>
    <n v="78589"/>
    <n v="16037.632972293761"/>
    <s v="Approved"/>
    <d v="2024-03-04T00:00:00"/>
    <d v="2023-08-28T00:00:00"/>
    <d v="2024-08-29T00:00:00"/>
    <x v="1"/>
    <n v="35"/>
    <n v="8261"/>
  </r>
  <r>
    <x v="252"/>
    <x v="252"/>
    <x v="1"/>
    <x v="1"/>
    <n v="24116"/>
    <n v="2367.47140294168"/>
    <s v="Approved"/>
    <d v="2024-09-05T00:00:00"/>
    <d v="2023-01-27T00:00:00"/>
    <d v="2024-02-03T00:00:00"/>
    <x v="1"/>
    <n v="35"/>
    <n v="2887"/>
  </r>
  <r>
    <x v="253"/>
    <x v="253"/>
    <x v="2"/>
    <x v="1"/>
    <n v="38244"/>
    <n v="11006.6705649385"/>
    <s v="Approved"/>
    <d v="2024-08-04T00:00:00"/>
    <d v="2023-02-02T00:00:00"/>
    <d v="2024-10-20T00:00:00"/>
    <x v="0"/>
    <n v="62"/>
    <n v="5104"/>
  </r>
  <r>
    <x v="254"/>
    <x v="254"/>
    <x v="2"/>
    <x v="0"/>
    <n v="3645"/>
    <n v="26004.60746653087"/>
    <s v="Approved"/>
    <d v="2024-05-30T00:00:00"/>
    <d v="2023-07-25T00:00:00"/>
    <d v="2024-11-13T00:00:00"/>
    <x v="0"/>
    <n v="55"/>
    <n v="2049"/>
  </r>
  <r>
    <x v="255"/>
    <x v="255"/>
    <x v="0"/>
    <x v="4"/>
    <n v="49523"/>
    <n v="57192.079843978878"/>
    <s v="Approved"/>
    <d v="2024-05-13T00:00:00"/>
    <d v="2023-05-28T00:00:00"/>
    <d v="2024-08-31T00:00:00"/>
    <x v="0"/>
    <n v="32"/>
    <n v="5951"/>
  </r>
  <r>
    <x v="256"/>
    <x v="256"/>
    <x v="0"/>
    <x v="4"/>
    <n v="21256"/>
    <n v="64994.142327180241"/>
    <s v="Approved"/>
    <d v="2024-03-25T00:00:00"/>
    <d v="2023-02-13T00:00:00"/>
    <d v="2024-11-02T00:00:00"/>
    <x v="0"/>
    <n v="26"/>
    <n v="5560"/>
  </r>
  <r>
    <x v="257"/>
    <x v="257"/>
    <x v="3"/>
    <x v="4"/>
    <n v="55173"/>
    <n v="82361.606078674144"/>
    <s v="Pending"/>
    <d v="2024-07-25T00:00:00"/>
    <d v="2023-06-03T00:00:00"/>
    <d v="2024-05-31T00:00:00"/>
    <x v="0"/>
    <n v="55"/>
    <n v="2018"/>
  </r>
  <r>
    <x v="258"/>
    <x v="258"/>
    <x v="1"/>
    <x v="2"/>
    <n v="39430"/>
    <n v="5240.9683119941656"/>
    <s v="Approved"/>
    <d v="2024-03-20T00:00:00"/>
    <d v="2023-07-23T00:00:00"/>
    <d v="2024-02-27T00:00:00"/>
    <x v="0"/>
    <n v="66"/>
    <n v="6821"/>
  </r>
  <r>
    <x v="259"/>
    <x v="259"/>
    <x v="0"/>
    <x v="0"/>
    <n v="41282"/>
    <n v="18841.881659768242"/>
    <s v="Approved"/>
    <d v="2024-05-27T00:00:00"/>
    <d v="2023-02-07T00:00:00"/>
    <d v="2024-12-11T00:00:00"/>
    <x v="1"/>
    <n v="28"/>
    <n v="8340"/>
  </r>
  <r>
    <x v="260"/>
    <x v="260"/>
    <x v="2"/>
    <x v="4"/>
    <n v="65374"/>
    <n v="48114.674036673947"/>
    <s v="Pending"/>
    <d v="2024-08-08T00:00:00"/>
    <d v="2023-10-08T00:00:00"/>
    <d v="2024-09-07T00:00:00"/>
    <x v="1"/>
    <n v="51"/>
    <n v="10058"/>
  </r>
  <r>
    <x v="261"/>
    <x v="261"/>
    <x v="3"/>
    <x v="2"/>
    <n v="70244"/>
    <n v="98623.096601434227"/>
    <s v="Approved"/>
    <d v="2024-03-17T00:00:00"/>
    <d v="2023-12-15T00:00:00"/>
    <d v="2024-08-28T00:00:00"/>
    <x v="0"/>
    <n v="30"/>
    <n v="11665"/>
  </r>
  <r>
    <x v="262"/>
    <x v="262"/>
    <x v="2"/>
    <x v="3"/>
    <n v="13694"/>
    <n v="0"/>
    <s v="Approved"/>
    <d v="2024-04-18T00:00:00"/>
    <d v="2023-02-02T00:00:00"/>
    <d v="2024-08-07T00:00:00"/>
    <x v="0"/>
    <n v="27"/>
    <n v="14253"/>
  </r>
  <r>
    <x v="263"/>
    <x v="263"/>
    <x v="2"/>
    <x v="3"/>
    <n v="58264"/>
    <n v="64388.833050520247"/>
    <s v="Approved"/>
    <d v="2024-04-13T00:00:00"/>
    <d v="2023-12-28T00:00:00"/>
    <d v="2024-01-12T00:00:00"/>
    <x v="1"/>
    <n v="52"/>
    <n v="4606"/>
  </r>
  <r>
    <x v="264"/>
    <x v="264"/>
    <x v="0"/>
    <x v="2"/>
    <n v="77060"/>
    <n v="29505.965782073821"/>
    <s v="Approved"/>
    <d v="2024-06-11T00:00:00"/>
    <d v="2023-01-22T00:00:00"/>
    <d v="2024-09-30T00:00:00"/>
    <x v="1"/>
    <n v="42"/>
    <n v="9846"/>
  </r>
  <r>
    <x v="265"/>
    <x v="265"/>
    <x v="3"/>
    <x v="2"/>
    <n v="99416"/>
    <n v="39302.789037381379"/>
    <s v="Pending"/>
    <d v="2024-04-15T00:00:00"/>
    <d v="2023-08-21T00:00:00"/>
    <d v="2024-10-08T00:00:00"/>
    <x v="1"/>
    <n v="44"/>
    <n v="10643"/>
  </r>
  <r>
    <x v="266"/>
    <x v="266"/>
    <x v="1"/>
    <x v="0"/>
    <n v="59545"/>
    <n v="50002.730781948521"/>
    <s v="Approved"/>
    <d v="2024-01-25T00:00:00"/>
    <d v="2023-10-11T00:00:00"/>
    <d v="2024-01-31T00:00:00"/>
    <x v="1"/>
    <n v="27"/>
    <n v="8432"/>
  </r>
  <r>
    <x v="267"/>
    <x v="267"/>
    <x v="1"/>
    <x v="0"/>
    <n v="41224"/>
    <n v="14722.43247762761"/>
    <s v="Approved"/>
    <d v="2024-01-12T00:00:00"/>
    <d v="2023-05-08T00:00:00"/>
    <d v="2024-10-24T00:00:00"/>
    <x v="0"/>
    <n v="64"/>
    <n v="5765"/>
  </r>
  <r>
    <x v="268"/>
    <x v="268"/>
    <x v="0"/>
    <x v="3"/>
    <n v="99945"/>
    <n v="71924.096196914208"/>
    <s v="Pending"/>
    <d v="2024-03-30T00:00:00"/>
    <d v="2023-04-29T00:00:00"/>
    <d v="2024-03-25T00:00:00"/>
    <x v="0"/>
    <n v="41"/>
    <n v="4438"/>
  </r>
  <r>
    <x v="269"/>
    <x v="269"/>
    <x v="0"/>
    <x v="4"/>
    <n v="15224"/>
    <n v="54685.410282740821"/>
    <s v="Pending"/>
    <d v="2024-06-17T00:00:00"/>
    <d v="2023-04-18T00:00:00"/>
    <d v="2024-06-24T00:00:00"/>
    <x v="0"/>
    <n v="23"/>
    <n v="14502"/>
  </r>
  <r>
    <x v="270"/>
    <x v="270"/>
    <x v="3"/>
    <x v="3"/>
    <n v="42738"/>
    <n v="0"/>
    <s v="Pending"/>
    <d v="2024-07-22T00:00:00"/>
    <d v="2023-03-26T00:00:00"/>
    <d v="2024-03-12T00:00:00"/>
    <x v="0"/>
    <n v="59"/>
    <n v="11741"/>
  </r>
  <r>
    <x v="271"/>
    <x v="271"/>
    <x v="1"/>
    <x v="4"/>
    <n v="27150"/>
    <n v="0"/>
    <s v="Approved"/>
    <d v="2024-08-25T00:00:00"/>
    <d v="2023-01-24T00:00:00"/>
    <d v="2024-02-13T00:00:00"/>
    <x v="0"/>
    <n v="22"/>
    <n v="8358"/>
  </r>
  <r>
    <x v="272"/>
    <x v="272"/>
    <x v="1"/>
    <x v="4"/>
    <n v="65731"/>
    <n v="23331.086964636721"/>
    <s v="Approved"/>
    <d v="2024-08-02T00:00:00"/>
    <d v="2023-04-27T00:00:00"/>
    <d v="2024-09-01T00:00:00"/>
    <x v="1"/>
    <n v="48"/>
    <n v="13666"/>
  </r>
  <r>
    <x v="273"/>
    <x v="273"/>
    <x v="1"/>
    <x v="0"/>
    <n v="51688"/>
    <n v="35420.567571033564"/>
    <s v="Rejected"/>
    <d v="2024-03-22T00:00:00"/>
    <d v="2023-10-06T00:00:00"/>
    <d v="2024-10-30T00:00:00"/>
    <x v="0"/>
    <n v="60"/>
    <n v="10319"/>
  </r>
  <r>
    <x v="274"/>
    <x v="274"/>
    <x v="2"/>
    <x v="1"/>
    <n v="75509"/>
    <n v="27293.931643951149"/>
    <s v="Pending"/>
    <d v="2024-03-20T00:00:00"/>
    <d v="2023-01-04T00:00:00"/>
    <d v="2024-05-20T00:00:00"/>
    <x v="1"/>
    <n v="48"/>
    <n v="7941"/>
  </r>
  <r>
    <x v="275"/>
    <x v="275"/>
    <x v="1"/>
    <x v="1"/>
    <n v="10577"/>
    <n v="29678.009683974469"/>
    <s v="Approved"/>
    <d v="2024-04-06T00:00:00"/>
    <d v="2023-02-17T00:00:00"/>
    <d v="2024-06-13T00:00:00"/>
    <x v="0"/>
    <n v="53"/>
    <n v="9644"/>
  </r>
  <r>
    <x v="276"/>
    <x v="276"/>
    <x v="2"/>
    <x v="2"/>
    <n v="10070"/>
    <n v="62183.769767280392"/>
    <s v="Approved"/>
    <d v="2024-05-03T00:00:00"/>
    <d v="2023-06-16T00:00:00"/>
    <d v="2024-09-18T00:00:00"/>
    <x v="0"/>
    <n v="53"/>
    <n v="6855"/>
  </r>
  <r>
    <x v="277"/>
    <x v="277"/>
    <x v="3"/>
    <x v="0"/>
    <n v="10666"/>
    <n v="41641.203614856211"/>
    <s v="Approved"/>
    <d v="2024-06-16T00:00:00"/>
    <d v="2023-06-14T00:00:00"/>
    <d v="2024-07-21T00:00:00"/>
    <x v="0"/>
    <n v="47"/>
    <n v="8547"/>
  </r>
  <r>
    <x v="278"/>
    <x v="278"/>
    <x v="2"/>
    <x v="4"/>
    <n v="59761"/>
    <n v="39257.040768328799"/>
    <s v="Rejected"/>
    <d v="2024-08-25T00:00:00"/>
    <d v="2023-07-12T00:00:00"/>
    <d v="2024-04-30T00:00:00"/>
    <x v="0"/>
    <n v="32"/>
    <n v="9196"/>
  </r>
  <r>
    <x v="279"/>
    <x v="279"/>
    <x v="3"/>
    <x v="1"/>
    <n v="38368"/>
    <n v="33527.751670261518"/>
    <s v="Approved"/>
    <d v="2024-06-13T00:00:00"/>
    <d v="2023-09-13T00:00:00"/>
    <d v="2024-03-23T00:00:00"/>
    <x v="0"/>
    <n v="34"/>
    <n v="7911"/>
  </r>
  <r>
    <x v="280"/>
    <x v="280"/>
    <x v="1"/>
    <x v="4"/>
    <n v="8783"/>
    <n v="29523.319871544321"/>
    <s v="Approved"/>
    <d v="2024-08-08T00:00:00"/>
    <d v="2023-03-12T00:00:00"/>
    <d v="2024-12-17T00:00:00"/>
    <x v="1"/>
    <n v="42"/>
    <n v="8481"/>
  </r>
  <r>
    <x v="281"/>
    <x v="281"/>
    <x v="1"/>
    <x v="1"/>
    <n v="43914"/>
    <n v="71897.187060437034"/>
    <s v="Approved"/>
    <d v="2024-08-23T00:00:00"/>
    <d v="2023-05-15T00:00:00"/>
    <d v="2024-07-09T00:00:00"/>
    <x v="1"/>
    <n v="63"/>
    <n v="4761"/>
  </r>
  <r>
    <x v="282"/>
    <x v="282"/>
    <x v="3"/>
    <x v="1"/>
    <n v="72507"/>
    <n v="2922.3671623010109"/>
    <s v="Approved"/>
    <d v="2024-06-06T00:00:00"/>
    <d v="2023-09-19T00:00:00"/>
    <d v="2024-10-30T00:00:00"/>
    <x v="1"/>
    <n v="45"/>
    <n v="6456"/>
  </r>
  <r>
    <x v="283"/>
    <x v="283"/>
    <x v="0"/>
    <x v="1"/>
    <n v="81026"/>
    <n v="14962.30252296692"/>
    <s v="Pending"/>
    <d v="2024-07-16T00:00:00"/>
    <d v="2023-12-19T00:00:00"/>
    <d v="2024-08-19T00:00:00"/>
    <x v="0"/>
    <n v="23"/>
    <n v="14856"/>
  </r>
  <r>
    <x v="284"/>
    <x v="284"/>
    <x v="3"/>
    <x v="0"/>
    <n v="69526"/>
    <n v="47612.925722979176"/>
    <s v="Approved"/>
    <d v="2024-02-11T00:00:00"/>
    <d v="2023-12-25T00:00:00"/>
    <d v="2024-06-29T00:00:00"/>
    <x v="0"/>
    <n v="45"/>
    <n v="11607"/>
  </r>
  <r>
    <x v="285"/>
    <x v="285"/>
    <x v="0"/>
    <x v="3"/>
    <n v="72835"/>
    <n v="36357.073898641524"/>
    <s v="Pending"/>
    <d v="2024-03-12T00:00:00"/>
    <d v="2023-10-06T00:00:00"/>
    <d v="2024-11-23T00:00:00"/>
    <x v="1"/>
    <n v="59"/>
    <n v="8361"/>
  </r>
  <r>
    <x v="286"/>
    <x v="286"/>
    <x v="2"/>
    <x v="4"/>
    <n v="47765"/>
    <n v="41896.414193750898"/>
    <s v="Rejected"/>
    <d v="2024-02-15T00:00:00"/>
    <d v="2023-12-03T00:00:00"/>
    <d v="2024-10-15T00:00:00"/>
    <x v="0"/>
    <n v="28"/>
    <n v="7693"/>
  </r>
  <r>
    <x v="287"/>
    <x v="287"/>
    <x v="2"/>
    <x v="0"/>
    <n v="21956"/>
    <n v="54977.407554637037"/>
    <s v="Approved"/>
    <d v="2024-09-22T00:00:00"/>
    <d v="2023-10-02T00:00:00"/>
    <d v="2024-07-25T00:00:00"/>
    <x v="0"/>
    <n v="24"/>
    <n v="7788"/>
  </r>
  <r>
    <x v="288"/>
    <x v="288"/>
    <x v="2"/>
    <x v="0"/>
    <n v="89895"/>
    <n v="14279.21807458353"/>
    <s v="Approved"/>
    <d v="2024-05-12T00:00:00"/>
    <d v="2023-09-29T00:00:00"/>
    <d v="2024-10-09T00:00:00"/>
    <x v="1"/>
    <n v="51"/>
    <n v="2201"/>
  </r>
  <r>
    <x v="289"/>
    <x v="289"/>
    <x v="1"/>
    <x v="0"/>
    <n v="48240"/>
    <n v="29678.53217365365"/>
    <s v="Approved"/>
    <d v="2024-08-30T00:00:00"/>
    <d v="2023-07-18T00:00:00"/>
    <d v="2024-11-09T00:00:00"/>
    <x v="0"/>
    <n v="39"/>
    <n v="8160"/>
  </r>
  <r>
    <x v="290"/>
    <x v="290"/>
    <x v="2"/>
    <x v="0"/>
    <n v="39148"/>
    <n v="59659.494483319817"/>
    <s v="Pending"/>
    <d v="2024-01-15T00:00:00"/>
    <d v="2023-06-16T00:00:00"/>
    <d v="2024-10-24T00:00:00"/>
    <x v="1"/>
    <n v="69"/>
    <n v="12561"/>
  </r>
  <r>
    <x v="291"/>
    <x v="291"/>
    <x v="0"/>
    <x v="0"/>
    <n v="96270"/>
    <n v="93095.068489564132"/>
    <s v="Approved"/>
    <d v="2024-08-05T00:00:00"/>
    <d v="2023-10-24T00:00:00"/>
    <d v="2024-10-06T00:00:00"/>
    <x v="0"/>
    <n v="30"/>
    <n v="2517"/>
  </r>
  <r>
    <x v="292"/>
    <x v="292"/>
    <x v="2"/>
    <x v="2"/>
    <n v="6757"/>
    <n v="0"/>
    <s v="Approved"/>
    <d v="2024-06-02T00:00:00"/>
    <d v="2023-06-03T00:00:00"/>
    <d v="2024-12-08T00:00:00"/>
    <x v="1"/>
    <n v="34"/>
    <n v="9737"/>
  </r>
  <r>
    <x v="293"/>
    <x v="293"/>
    <x v="3"/>
    <x v="4"/>
    <n v="21097"/>
    <n v="0"/>
    <s v="Pending"/>
    <d v="2024-08-16T00:00:00"/>
    <d v="2023-12-14T00:00:00"/>
    <d v="2024-05-17T00:00:00"/>
    <x v="0"/>
    <n v="51"/>
    <n v="11533"/>
  </r>
  <r>
    <x v="294"/>
    <x v="294"/>
    <x v="3"/>
    <x v="0"/>
    <n v="12395"/>
    <n v="65480.477280047518"/>
    <s v="Approved"/>
    <d v="2024-09-28T00:00:00"/>
    <d v="2023-08-17T00:00:00"/>
    <d v="2024-01-16T00:00:00"/>
    <x v="0"/>
    <n v="47"/>
    <n v="14968"/>
  </r>
  <r>
    <x v="295"/>
    <x v="295"/>
    <x v="1"/>
    <x v="4"/>
    <n v="18241"/>
    <n v="76441.853855384048"/>
    <s v="Rejected"/>
    <d v="2024-04-03T00:00:00"/>
    <d v="2023-02-14T00:00:00"/>
    <d v="2024-03-16T00:00:00"/>
    <x v="1"/>
    <n v="41"/>
    <n v="3988"/>
  </r>
  <r>
    <x v="296"/>
    <x v="296"/>
    <x v="3"/>
    <x v="2"/>
    <n v="29696"/>
    <n v="76946.777809869251"/>
    <s v="Approved"/>
    <d v="2024-09-18T00:00:00"/>
    <d v="2023-02-21T00:00:00"/>
    <d v="2024-11-15T00:00:00"/>
    <x v="0"/>
    <n v="60"/>
    <n v="13737"/>
  </r>
  <r>
    <x v="297"/>
    <x v="297"/>
    <x v="0"/>
    <x v="2"/>
    <n v="72480"/>
    <n v="46502.84114500766"/>
    <s v="Approved"/>
    <d v="2024-03-21T00:00:00"/>
    <d v="2023-11-25T00:00:00"/>
    <d v="2024-01-13T00:00:00"/>
    <x v="0"/>
    <n v="36"/>
    <n v="14712"/>
  </r>
  <r>
    <x v="298"/>
    <x v="298"/>
    <x v="2"/>
    <x v="4"/>
    <n v="48163"/>
    <n v="75438.207639567714"/>
    <s v="Approved"/>
    <d v="2024-05-16T00:00:00"/>
    <d v="2023-12-28T00:00:00"/>
    <d v="2024-07-24T00:00:00"/>
    <x v="1"/>
    <n v="45"/>
    <n v="5802"/>
  </r>
  <r>
    <x v="299"/>
    <x v="299"/>
    <x v="1"/>
    <x v="1"/>
    <n v="21816"/>
    <n v="0"/>
    <s v="Pending"/>
    <d v="2024-05-20T00:00:00"/>
    <d v="2023-10-08T00:00:00"/>
    <d v="2024-01-08T00:00:00"/>
    <x v="0"/>
    <n v="63"/>
    <n v="7808"/>
  </r>
  <r>
    <x v="300"/>
    <x v="300"/>
    <x v="2"/>
    <x v="3"/>
    <n v="51840"/>
    <n v="34674.139158720704"/>
    <s v="Approved"/>
    <d v="2024-04-22T00:00:00"/>
    <d v="2023-03-10T00:00:00"/>
    <d v="2024-02-04T00:00:00"/>
    <x v="1"/>
    <n v="26"/>
    <n v="13467"/>
  </r>
  <r>
    <x v="301"/>
    <x v="301"/>
    <x v="2"/>
    <x v="1"/>
    <n v="54853"/>
    <n v="0"/>
    <s v="Pending"/>
    <d v="2024-10-20T00:00:00"/>
    <d v="2023-06-07T00:00:00"/>
    <d v="2024-12-17T00:00:00"/>
    <x v="0"/>
    <n v="61"/>
    <n v="13846"/>
  </r>
  <r>
    <x v="302"/>
    <x v="302"/>
    <x v="0"/>
    <x v="1"/>
    <n v="26917"/>
    <n v="67042.430584082365"/>
    <s v="Rejected"/>
    <d v="2024-08-19T00:00:00"/>
    <d v="2023-10-30T00:00:00"/>
    <d v="2024-04-29T00:00:00"/>
    <x v="0"/>
    <n v="45"/>
    <n v="9162"/>
  </r>
  <r>
    <x v="303"/>
    <x v="303"/>
    <x v="3"/>
    <x v="1"/>
    <n v="98731"/>
    <n v="13651.378080385621"/>
    <s v="Approved"/>
    <d v="2024-01-06T00:00:00"/>
    <d v="2023-01-26T00:00:00"/>
    <d v="2024-01-08T00:00:00"/>
    <x v="0"/>
    <n v="44"/>
    <n v="12626"/>
  </r>
  <r>
    <x v="304"/>
    <x v="304"/>
    <x v="3"/>
    <x v="0"/>
    <n v="23566"/>
    <n v="38631.74901893708"/>
    <s v="Rejected"/>
    <d v="2024-05-29T00:00:00"/>
    <d v="2023-07-30T00:00:00"/>
    <d v="2024-09-13T00:00:00"/>
    <x v="0"/>
    <n v="29"/>
    <n v="8241"/>
  </r>
  <r>
    <x v="305"/>
    <x v="305"/>
    <x v="2"/>
    <x v="2"/>
    <n v="77452"/>
    <n v="23701.101643972059"/>
    <s v="Approved"/>
    <d v="2024-04-09T00:00:00"/>
    <d v="2023-10-16T00:00:00"/>
    <d v="2024-02-11T00:00:00"/>
    <x v="1"/>
    <n v="64"/>
    <n v="10399"/>
  </r>
  <r>
    <x v="306"/>
    <x v="306"/>
    <x v="1"/>
    <x v="1"/>
    <n v="64823"/>
    <n v="59880.728335014057"/>
    <s v="Approved"/>
    <d v="2024-01-05T00:00:00"/>
    <d v="2023-12-31T00:00:00"/>
    <d v="2024-03-15T00:00:00"/>
    <x v="0"/>
    <n v="38"/>
    <n v="7633"/>
  </r>
  <r>
    <x v="307"/>
    <x v="307"/>
    <x v="3"/>
    <x v="2"/>
    <n v="22806"/>
    <n v="2103.6500209699948"/>
    <s v="Approved"/>
    <d v="2024-08-26T00:00:00"/>
    <d v="2023-02-08T00:00:00"/>
    <d v="2024-02-07T00:00:00"/>
    <x v="1"/>
    <n v="30"/>
    <n v="7755"/>
  </r>
  <r>
    <x v="308"/>
    <x v="308"/>
    <x v="1"/>
    <x v="4"/>
    <n v="77520"/>
    <n v="40194.184974586868"/>
    <s v="Pending"/>
    <d v="2024-03-07T00:00:00"/>
    <d v="2023-01-29T00:00:00"/>
    <d v="2024-09-30T00:00:00"/>
    <x v="0"/>
    <n v="32"/>
    <n v="12825"/>
  </r>
  <r>
    <x v="309"/>
    <x v="309"/>
    <x v="3"/>
    <x v="3"/>
    <n v="3759"/>
    <n v="59484.475099390998"/>
    <s v="Approved"/>
    <d v="2024-06-20T00:00:00"/>
    <d v="2023-06-21T00:00:00"/>
    <d v="2024-07-06T00:00:00"/>
    <x v="0"/>
    <n v="27"/>
    <n v="8309"/>
  </r>
  <r>
    <x v="310"/>
    <x v="310"/>
    <x v="1"/>
    <x v="4"/>
    <n v="43949"/>
    <n v="48661.49212154009"/>
    <s v="Approved"/>
    <d v="2024-04-11T00:00:00"/>
    <d v="2023-12-16T00:00:00"/>
    <d v="2024-07-13T00:00:00"/>
    <x v="0"/>
    <n v="59"/>
    <n v="6117"/>
  </r>
  <r>
    <x v="311"/>
    <x v="311"/>
    <x v="0"/>
    <x v="4"/>
    <n v="94374"/>
    <n v="27144.885066728821"/>
    <s v="Approved"/>
    <d v="2024-10-16T00:00:00"/>
    <d v="2023-07-24T00:00:00"/>
    <d v="2024-05-31T00:00:00"/>
    <x v="0"/>
    <n v="23"/>
    <n v="10345"/>
  </r>
  <r>
    <x v="312"/>
    <x v="312"/>
    <x v="1"/>
    <x v="0"/>
    <n v="4482"/>
    <n v="77854.097872618979"/>
    <s v="Approved"/>
    <d v="2024-03-07T00:00:00"/>
    <d v="2023-10-17T00:00:00"/>
    <d v="2024-09-19T00:00:00"/>
    <x v="1"/>
    <n v="66"/>
    <n v="13558"/>
  </r>
  <r>
    <x v="313"/>
    <x v="313"/>
    <x v="0"/>
    <x v="3"/>
    <n v="26442"/>
    <n v="39550.276772707432"/>
    <s v="Approved"/>
    <d v="2024-01-22T00:00:00"/>
    <d v="2023-07-02T00:00:00"/>
    <d v="2024-07-09T00:00:00"/>
    <x v="1"/>
    <n v="50"/>
    <n v="14506"/>
  </r>
  <r>
    <x v="314"/>
    <x v="314"/>
    <x v="0"/>
    <x v="4"/>
    <n v="35719"/>
    <n v="12812.12452193311"/>
    <s v="Pending"/>
    <d v="2024-06-28T00:00:00"/>
    <d v="2023-12-25T00:00:00"/>
    <d v="2024-01-23T00:00:00"/>
    <x v="1"/>
    <n v="47"/>
    <n v="14956"/>
  </r>
  <r>
    <x v="315"/>
    <x v="315"/>
    <x v="1"/>
    <x v="4"/>
    <n v="60066"/>
    <n v="48780.704442783514"/>
    <s v="Pending"/>
    <d v="2024-04-05T00:00:00"/>
    <d v="2023-12-16T00:00:00"/>
    <d v="2024-12-16T00:00:00"/>
    <x v="1"/>
    <n v="30"/>
    <n v="3518"/>
  </r>
  <r>
    <x v="316"/>
    <x v="316"/>
    <x v="0"/>
    <x v="3"/>
    <n v="95501"/>
    <n v="0"/>
    <s v="Approved"/>
    <d v="2024-03-22T00:00:00"/>
    <d v="2023-05-07T00:00:00"/>
    <d v="2024-11-10T00:00:00"/>
    <x v="0"/>
    <n v="62"/>
    <n v="8163"/>
  </r>
  <r>
    <x v="317"/>
    <x v="317"/>
    <x v="2"/>
    <x v="3"/>
    <n v="4079"/>
    <n v="67270.165230092724"/>
    <s v="Rejected"/>
    <d v="2024-07-06T00:00:00"/>
    <d v="2023-07-21T00:00:00"/>
    <d v="2024-02-11T00:00:00"/>
    <x v="1"/>
    <n v="20"/>
    <n v="4600"/>
  </r>
  <r>
    <x v="318"/>
    <x v="318"/>
    <x v="0"/>
    <x v="4"/>
    <n v="4717"/>
    <n v="23997.61296248341"/>
    <s v="Approved"/>
    <d v="2024-04-22T00:00:00"/>
    <d v="2023-03-07T00:00:00"/>
    <d v="2024-07-18T00:00:00"/>
    <x v="1"/>
    <n v="68"/>
    <n v="4195"/>
  </r>
  <r>
    <x v="319"/>
    <x v="319"/>
    <x v="3"/>
    <x v="3"/>
    <n v="61676"/>
    <n v="4670.7863710923666"/>
    <s v="Rejected"/>
    <d v="2024-10-14T00:00:00"/>
    <d v="2023-06-16T00:00:00"/>
    <d v="2024-02-11T00:00:00"/>
    <x v="0"/>
    <n v="66"/>
    <n v="14690"/>
  </r>
  <r>
    <x v="320"/>
    <x v="320"/>
    <x v="1"/>
    <x v="4"/>
    <n v="29952"/>
    <n v="69162.940581533025"/>
    <s v="Approved"/>
    <d v="2024-06-21T00:00:00"/>
    <d v="2023-08-07T00:00:00"/>
    <d v="2024-12-15T00:00:00"/>
    <x v="0"/>
    <n v="57"/>
    <n v="14883"/>
  </r>
  <r>
    <x v="321"/>
    <x v="321"/>
    <x v="2"/>
    <x v="4"/>
    <n v="88444"/>
    <n v="8255.0542247517296"/>
    <s v="Approved"/>
    <d v="2024-06-29T00:00:00"/>
    <d v="2023-05-18T00:00:00"/>
    <d v="2024-05-16T00:00:00"/>
    <x v="0"/>
    <n v="43"/>
    <n v="5554"/>
  </r>
  <r>
    <x v="322"/>
    <x v="322"/>
    <x v="1"/>
    <x v="0"/>
    <n v="44460"/>
    <n v="49336.852623273538"/>
    <s v="Approved"/>
    <d v="2024-02-22T00:00:00"/>
    <d v="2023-06-04T00:00:00"/>
    <d v="2024-07-14T00:00:00"/>
    <x v="0"/>
    <n v="66"/>
    <n v="12606"/>
  </r>
  <r>
    <x v="323"/>
    <x v="323"/>
    <x v="3"/>
    <x v="1"/>
    <n v="92397"/>
    <n v="0"/>
    <s v="Pending"/>
    <d v="2024-03-12T00:00:00"/>
    <d v="2023-11-05T00:00:00"/>
    <d v="2024-09-14T00:00:00"/>
    <x v="1"/>
    <n v="50"/>
    <n v="4849"/>
  </r>
  <r>
    <x v="324"/>
    <x v="324"/>
    <x v="3"/>
    <x v="4"/>
    <n v="74847"/>
    <n v="26353.75406370038"/>
    <s v="Approved"/>
    <d v="2024-05-19T00:00:00"/>
    <d v="2023-12-04T00:00:00"/>
    <d v="2024-03-02T00:00:00"/>
    <x v="1"/>
    <n v="60"/>
    <n v="3742"/>
  </r>
  <r>
    <x v="325"/>
    <x v="325"/>
    <x v="3"/>
    <x v="2"/>
    <n v="95607"/>
    <n v="7929.1312918005988"/>
    <s v="Approved"/>
    <d v="2024-07-10T00:00:00"/>
    <d v="2023-05-22T00:00:00"/>
    <d v="2024-07-02T00:00:00"/>
    <x v="0"/>
    <n v="65"/>
    <n v="3306"/>
  </r>
  <r>
    <x v="326"/>
    <x v="326"/>
    <x v="0"/>
    <x v="1"/>
    <n v="91106"/>
    <n v="35600.289017533119"/>
    <s v="Approved"/>
    <d v="2024-01-15T00:00:00"/>
    <d v="2023-06-11T00:00:00"/>
    <d v="2024-09-10T00:00:00"/>
    <x v="0"/>
    <n v="69"/>
    <n v="5849"/>
  </r>
  <r>
    <x v="327"/>
    <x v="327"/>
    <x v="0"/>
    <x v="1"/>
    <n v="20449"/>
    <n v="68547.471307743588"/>
    <s v="Approved"/>
    <d v="2024-08-30T00:00:00"/>
    <d v="2023-11-17T00:00:00"/>
    <d v="2024-09-11T00:00:00"/>
    <x v="0"/>
    <n v="45"/>
    <n v="14360"/>
  </r>
  <r>
    <x v="328"/>
    <x v="328"/>
    <x v="1"/>
    <x v="1"/>
    <n v="35536"/>
    <n v="49417.098375808077"/>
    <s v="Approved"/>
    <d v="2024-06-12T00:00:00"/>
    <d v="2023-05-26T00:00:00"/>
    <d v="2024-02-14T00:00:00"/>
    <x v="1"/>
    <n v="68"/>
    <n v="14768"/>
  </r>
  <r>
    <x v="329"/>
    <x v="329"/>
    <x v="1"/>
    <x v="0"/>
    <n v="66077"/>
    <n v="62229.802403086818"/>
    <s v="Pending"/>
    <d v="2024-03-03T00:00:00"/>
    <d v="2023-06-12T00:00:00"/>
    <d v="2024-08-22T00:00:00"/>
    <x v="1"/>
    <n v="69"/>
    <n v="9519"/>
  </r>
  <r>
    <x v="330"/>
    <x v="330"/>
    <x v="2"/>
    <x v="4"/>
    <n v="40258"/>
    <n v="10442.502167503129"/>
    <s v="Pending"/>
    <d v="2024-06-19T00:00:00"/>
    <d v="2023-03-25T00:00:00"/>
    <d v="2024-12-19T00:00:00"/>
    <x v="0"/>
    <n v="24"/>
    <n v="14847"/>
  </r>
  <r>
    <x v="331"/>
    <x v="331"/>
    <x v="2"/>
    <x v="0"/>
    <n v="50302"/>
    <n v="19031.6875941658"/>
    <s v="Approved"/>
    <d v="2024-07-13T00:00:00"/>
    <d v="2023-08-13T00:00:00"/>
    <d v="2024-03-18T00:00:00"/>
    <x v="0"/>
    <n v="39"/>
    <n v="6195"/>
  </r>
  <r>
    <x v="332"/>
    <x v="332"/>
    <x v="1"/>
    <x v="4"/>
    <n v="30865"/>
    <n v="63014.127503659838"/>
    <s v="Pending"/>
    <d v="2024-04-08T00:00:00"/>
    <d v="2023-12-05T00:00:00"/>
    <d v="2024-11-27T00:00:00"/>
    <x v="1"/>
    <n v="60"/>
    <n v="7178"/>
  </r>
  <r>
    <x v="333"/>
    <x v="333"/>
    <x v="0"/>
    <x v="0"/>
    <n v="8645"/>
    <n v="36317.48520620061"/>
    <s v="Approved"/>
    <d v="2024-08-15T00:00:00"/>
    <d v="2023-12-28T00:00:00"/>
    <d v="2024-04-22T00:00:00"/>
    <x v="0"/>
    <n v="30"/>
    <n v="4555"/>
  </r>
  <r>
    <x v="334"/>
    <x v="334"/>
    <x v="3"/>
    <x v="0"/>
    <n v="40000"/>
    <n v="24418.774715308002"/>
    <s v="Pending"/>
    <d v="2024-10-01T00:00:00"/>
    <d v="2023-03-31T00:00:00"/>
    <d v="2024-02-03T00:00:00"/>
    <x v="0"/>
    <n v="52"/>
    <n v="4305"/>
  </r>
  <r>
    <x v="335"/>
    <x v="335"/>
    <x v="1"/>
    <x v="2"/>
    <n v="28737"/>
    <n v="26911.129709114579"/>
    <s v="Pending"/>
    <d v="2024-02-17T00:00:00"/>
    <d v="2023-01-28T00:00:00"/>
    <d v="2024-02-10T00:00:00"/>
    <x v="1"/>
    <n v="69"/>
    <n v="14700"/>
  </r>
  <r>
    <x v="336"/>
    <x v="336"/>
    <x v="2"/>
    <x v="0"/>
    <n v="13485"/>
    <n v="20266.329832153038"/>
    <s v="Approved"/>
    <d v="2024-01-17T00:00:00"/>
    <d v="2023-01-27T00:00:00"/>
    <d v="2024-10-30T00:00:00"/>
    <x v="0"/>
    <n v="57"/>
    <n v="9619"/>
  </r>
  <r>
    <x v="337"/>
    <x v="337"/>
    <x v="0"/>
    <x v="3"/>
    <n v="40565"/>
    <n v="22630.661770839972"/>
    <s v="Pending"/>
    <d v="2024-05-16T00:00:00"/>
    <d v="2023-09-13T00:00:00"/>
    <d v="2024-06-13T00:00:00"/>
    <x v="1"/>
    <n v="46"/>
    <n v="11280"/>
  </r>
  <r>
    <x v="338"/>
    <x v="338"/>
    <x v="1"/>
    <x v="2"/>
    <n v="27522"/>
    <n v="46155.558743164547"/>
    <s v="Approved"/>
    <d v="2024-04-17T00:00:00"/>
    <d v="2023-09-25T00:00:00"/>
    <d v="2024-07-28T00:00:00"/>
    <x v="0"/>
    <n v="53"/>
    <n v="4642"/>
  </r>
  <r>
    <x v="339"/>
    <x v="339"/>
    <x v="1"/>
    <x v="0"/>
    <n v="67155"/>
    <n v="0"/>
    <s v="Approved"/>
    <d v="2024-03-30T00:00:00"/>
    <d v="2023-01-21T00:00:00"/>
    <d v="2024-09-11T00:00:00"/>
    <x v="0"/>
    <n v="34"/>
    <n v="11369"/>
  </r>
  <r>
    <x v="340"/>
    <x v="340"/>
    <x v="0"/>
    <x v="1"/>
    <n v="57168"/>
    <n v="72445.094987122022"/>
    <s v="Pending"/>
    <d v="2024-06-30T00:00:00"/>
    <d v="2023-09-25T00:00:00"/>
    <d v="2024-06-07T00:00:00"/>
    <x v="1"/>
    <n v="51"/>
    <n v="8409"/>
  </r>
  <r>
    <x v="341"/>
    <x v="341"/>
    <x v="1"/>
    <x v="3"/>
    <n v="54487"/>
    <n v="14384.208549459259"/>
    <s v="Approved"/>
    <d v="2024-10-17T00:00:00"/>
    <d v="2023-04-25T00:00:00"/>
    <d v="2024-07-23T00:00:00"/>
    <x v="1"/>
    <n v="40"/>
    <n v="6757"/>
  </r>
  <r>
    <x v="342"/>
    <x v="342"/>
    <x v="0"/>
    <x v="3"/>
    <n v="14342"/>
    <n v="19229.901153666498"/>
    <s v="Approved"/>
    <d v="2024-05-11T00:00:00"/>
    <d v="2023-01-19T00:00:00"/>
    <d v="2024-09-22T00:00:00"/>
    <x v="0"/>
    <n v="65"/>
    <n v="4994"/>
  </r>
  <r>
    <x v="343"/>
    <x v="343"/>
    <x v="3"/>
    <x v="3"/>
    <n v="42806"/>
    <n v="47289.329733168757"/>
    <s v="Approved"/>
    <d v="2024-06-29T00:00:00"/>
    <d v="2023-06-02T00:00:00"/>
    <d v="2024-07-31T00:00:00"/>
    <x v="1"/>
    <n v="24"/>
    <n v="10751"/>
  </r>
  <r>
    <x v="344"/>
    <x v="344"/>
    <x v="0"/>
    <x v="2"/>
    <n v="50770"/>
    <n v="58415.208300249629"/>
    <s v="Pending"/>
    <d v="2024-03-19T00:00:00"/>
    <d v="2023-10-25T00:00:00"/>
    <d v="2024-08-15T00:00:00"/>
    <x v="0"/>
    <n v="25"/>
    <n v="13156"/>
  </r>
  <r>
    <x v="345"/>
    <x v="345"/>
    <x v="0"/>
    <x v="0"/>
    <n v="80623"/>
    <n v="0"/>
    <s v="Approved"/>
    <d v="2024-01-20T00:00:00"/>
    <d v="2023-12-20T00:00:00"/>
    <d v="2024-07-05T00:00:00"/>
    <x v="0"/>
    <n v="57"/>
    <n v="3271"/>
  </r>
  <r>
    <x v="346"/>
    <x v="346"/>
    <x v="0"/>
    <x v="0"/>
    <n v="77629"/>
    <n v="7104.4473256235551"/>
    <s v="Approved"/>
    <d v="2024-08-24T00:00:00"/>
    <d v="2023-09-11T00:00:00"/>
    <d v="2024-04-25T00:00:00"/>
    <x v="1"/>
    <n v="41"/>
    <n v="3813"/>
  </r>
  <r>
    <x v="347"/>
    <x v="347"/>
    <x v="1"/>
    <x v="1"/>
    <n v="54603"/>
    <n v="22739.871404499139"/>
    <s v="Pending"/>
    <d v="2024-04-29T00:00:00"/>
    <d v="2023-07-10T00:00:00"/>
    <d v="2024-04-15T00:00:00"/>
    <x v="0"/>
    <n v="37"/>
    <n v="13107"/>
  </r>
  <r>
    <x v="348"/>
    <x v="348"/>
    <x v="1"/>
    <x v="1"/>
    <n v="83974"/>
    <n v="60639.633902088972"/>
    <s v="Pending"/>
    <d v="2024-03-21T00:00:00"/>
    <d v="2023-06-09T00:00:00"/>
    <d v="2024-02-12T00:00:00"/>
    <x v="0"/>
    <n v="33"/>
    <n v="10801"/>
  </r>
  <r>
    <x v="349"/>
    <x v="349"/>
    <x v="0"/>
    <x v="3"/>
    <n v="28399"/>
    <n v="0"/>
    <s v="Approved"/>
    <d v="2024-08-31T00:00:00"/>
    <d v="2023-10-29T00:00:00"/>
    <d v="2024-10-09T00:00:00"/>
    <x v="1"/>
    <n v="29"/>
    <n v="4461"/>
  </r>
  <r>
    <x v="350"/>
    <x v="350"/>
    <x v="1"/>
    <x v="1"/>
    <n v="87382"/>
    <n v="23292.97463194569"/>
    <s v="Approved"/>
    <d v="2024-04-02T00:00:00"/>
    <d v="2023-02-27T00:00:00"/>
    <d v="2024-02-14T00:00:00"/>
    <x v="1"/>
    <n v="65"/>
    <n v="6120"/>
  </r>
  <r>
    <x v="351"/>
    <x v="351"/>
    <x v="2"/>
    <x v="2"/>
    <n v="83244"/>
    <n v="70217.354966732077"/>
    <s v="Approved"/>
    <d v="2024-05-02T00:00:00"/>
    <d v="2023-03-27T00:00:00"/>
    <d v="2024-10-01T00:00:00"/>
    <x v="0"/>
    <n v="32"/>
    <n v="8124"/>
  </r>
  <r>
    <x v="352"/>
    <x v="352"/>
    <x v="2"/>
    <x v="0"/>
    <n v="78534"/>
    <n v="28217.365368543189"/>
    <s v="Approved"/>
    <d v="2024-03-11T00:00:00"/>
    <d v="2023-07-01T00:00:00"/>
    <d v="2024-07-21T00:00:00"/>
    <x v="1"/>
    <n v="50"/>
    <n v="10475"/>
  </r>
  <r>
    <x v="353"/>
    <x v="353"/>
    <x v="1"/>
    <x v="3"/>
    <n v="57106"/>
    <n v="8946.2752938187132"/>
    <s v="Approved"/>
    <d v="2024-09-19T00:00:00"/>
    <d v="2023-08-29T00:00:00"/>
    <d v="2024-09-23T00:00:00"/>
    <x v="1"/>
    <n v="49"/>
    <n v="13120"/>
  </r>
  <r>
    <x v="354"/>
    <x v="354"/>
    <x v="1"/>
    <x v="1"/>
    <n v="32678"/>
    <n v="20592.33626794034"/>
    <s v="Pending"/>
    <d v="2024-03-31T00:00:00"/>
    <d v="2023-06-17T00:00:00"/>
    <d v="2024-06-02T00:00:00"/>
    <x v="1"/>
    <n v="22"/>
    <n v="6396"/>
  </r>
  <r>
    <x v="355"/>
    <x v="355"/>
    <x v="0"/>
    <x v="2"/>
    <n v="78218"/>
    <n v="11070.22748164951"/>
    <s v="Approved"/>
    <d v="2024-06-07T00:00:00"/>
    <d v="2023-05-11T00:00:00"/>
    <d v="2024-08-25T00:00:00"/>
    <x v="1"/>
    <n v="49"/>
    <n v="11283"/>
  </r>
  <r>
    <x v="356"/>
    <x v="356"/>
    <x v="3"/>
    <x v="2"/>
    <n v="65230"/>
    <n v="11204.67579378986"/>
    <s v="Approved"/>
    <d v="2024-03-13T00:00:00"/>
    <d v="2023-07-14T00:00:00"/>
    <d v="2024-02-03T00:00:00"/>
    <x v="0"/>
    <n v="25"/>
    <n v="2816"/>
  </r>
  <r>
    <x v="357"/>
    <x v="357"/>
    <x v="1"/>
    <x v="1"/>
    <n v="76055"/>
    <n v="73784.146488835147"/>
    <s v="Approved"/>
    <d v="2024-09-16T00:00:00"/>
    <d v="2023-10-09T00:00:00"/>
    <d v="2024-01-27T00:00:00"/>
    <x v="0"/>
    <n v="48"/>
    <n v="9304"/>
  </r>
  <r>
    <x v="358"/>
    <x v="358"/>
    <x v="2"/>
    <x v="0"/>
    <n v="58373"/>
    <n v="5277.2190598362586"/>
    <s v="Pending"/>
    <d v="2024-01-28T00:00:00"/>
    <d v="2023-08-17T00:00:00"/>
    <d v="2024-08-10T00:00:00"/>
    <x v="0"/>
    <n v="27"/>
    <n v="9331"/>
  </r>
  <r>
    <x v="359"/>
    <x v="359"/>
    <x v="0"/>
    <x v="1"/>
    <n v="33480"/>
    <n v="68219.974328028256"/>
    <s v="Approved"/>
    <d v="2024-04-05T00:00:00"/>
    <d v="2023-07-13T00:00:00"/>
    <d v="2024-04-08T00:00:00"/>
    <x v="1"/>
    <n v="63"/>
    <n v="2082"/>
  </r>
  <r>
    <x v="360"/>
    <x v="360"/>
    <x v="1"/>
    <x v="3"/>
    <n v="87230"/>
    <n v="56345.117872909534"/>
    <s v="Rejected"/>
    <d v="2024-10-25T00:00:00"/>
    <d v="2023-12-10T00:00:00"/>
    <d v="2024-08-02T00:00:00"/>
    <x v="1"/>
    <n v="64"/>
    <n v="3920"/>
  </r>
  <r>
    <x v="361"/>
    <x v="361"/>
    <x v="2"/>
    <x v="1"/>
    <n v="70836"/>
    <n v="48399.546307208162"/>
    <s v="Approved"/>
    <d v="2024-05-21T00:00:00"/>
    <d v="2023-01-27T00:00:00"/>
    <d v="2024-12-06T00:00:00"/>
    <x v="1"/>
    <n v="62"/>
    <n v="9817"/>
  </r>
  <r>
    <x v="362"/>
    <x v="362"/>
    <x v="2"/>
    <x v="2"/>
    <n v="74258"/>
    <n v="33957.289178896142"/>
    <s v="Approved"/>
    <d v="2024-07-13T00:00:00"/>
    <d v="2023-10-05T00:00:00"/>
    <d v="2024-03-17T00:00:00"/>
    <x v="1"/>
    <n v="63"/>
    <n v="13683"/>
  </r>
  <r>
    <x v="363"/>
    <x v="363"/>
    <x v="3"/>
    <x v="1"/>
    <n v="41986"/>
    <n v="53918.572563316833"/>
    <s v="Approved"/>
    <d v="2024-03-01T00:00:00"/>
    <d v="2023-08-15T00:00:00"/>
    <d v="2024-03-30T00:00:00"/>
    <x v="1"/>
    <n v="52"/>
    <n v="13336"/>
  </r>
  <r>
    <x v="364"/>
    <x v="364"/>
    <x v="0"/>
    <x v="0"/>
    <n v="26160"/>
    <n v="10059.111328214311"/>
    <s v="Approved"/>
    <d v="2024-10-11T00:00:00"/>
    <d v="2023-02-14T00:00:00"/>
    <d v="2024-04-17T00:00:00"/>
    <x v="1"/>
    <n v="36"/>
    <n v="4093"/>
  </r>
  <r>
    <x v="365"/>
    <x v="365"/>
    <x v="0"/>
    <x v="4"/>
    <n v="87595"/>
    <n v="22623.333439132519"/>
    <s v="Approved"/>
    <d v="2024-06-22T00:00:00"/>
    <d v="2023-08-14T00:00:00"/>
    <d v="2024-07-15T00:00:00"/>
    <x v="1"/>
    <n v="67"/>
    <n v="14905"/>
  </r>
  <r>
    <x v="366"/>
    <x v="366"/>
    <x v="3"/>
    <x v="1"/>
    <n v="81111"/>
    <n v="37756.552386594849"/>
    <s v="Approved"/>
    <d v="2024-10-23T00:00:00"/>
    <d v="2023-11-03T00:00:00"/>
    <d v="2024-01-10T00:00:00"/>
    <x v="0"/>
    <n v="30"/>
    <n v="9071"/>
  </r>
  <r>
    <x v="367"/>
    <x v="367"/>
    <x v="3"/>
    <x v="0"/>
    <n v="66929"/>
    <n v="44847.518399495857"/>
    <s v="Approved"/>
    <d v="2024-05-09T00:00:00"/>
    <d v="2023-10-27T00:00:00"/>
    <d v="2024-05-04T00:00:00"/>
    <x v="0"/>
    <n v="32"/>
    <n v="9967"/>
  </r>
  <r>
    <x v="368"/>
    <x v="368"/>
    <x v="0"/>
    <x v="0"/>
    <n v="75506"/>
    <n v="71930.092345538273"/>
    <s v="Pending"/>
    <d v="2024-07-20T00:00:00"/>
    <d v="2023-04-17T00:00:00"/>
    <d v="2024-10-03T00:00:00"/>
    <x v="1"/>
    <n v="69"/>
    <n v="10367"/>
  </r>
  <r>
    <x v="369"/>
    <x v="369"/>
    <x v="0"/>
    <x v="2"/>
    <n v="36911"/>
    <n v="43523.916587541127"/>
    <s v="Approved"/>
    <d v="2024-05-31T00:00:00"/>
    <d v="2023-06-20T00:00:00"/>
    <d v="2024-09-17T00:00:00"/>
    <x v="1"/>
    <n v="30"/>
    <n v="7285"/>
  </r>
  <r>
    <x v="370"/>
    <x v="370"/>
    <x v="1"/>
    <x v="0"/>
    <n v="89127"/>
    <n v="4882.1939113913186"/>
    <s v="Pending"/>
    <d v="2024-07-03T00:00:00"/>
    <d v="2023-06-05T00:00:00"/>
    <d v="2024-05-20T00:00:00"/>
    <x v="1"/>
    <n v="50"/>
    <n v="12896"/>
  </r>
  <r>
    <x v="371"/>
    <x v="371"/>
    <x v="1"/>
    <x v="0"/>
    <n v="33821"/>
    <n v="0"/>
    <s v="Approved"/>
    <d v="2024-09-27T00:00:00"/>
    <d v="2023-01-05T00:00:00"/>
    <d v="2024-01-28T00:00:00"/>
    <x v="0"/>
    <n v="47"/>
    <n v="6937"/>
  </r>
  <r>
    <x v="372"/>
    <x v="372"/>
    <x v="3"/>
    <x v="0"/>
    <n v="77039"/>
    <n v="23275.543444361421"/>
    <s v="Approved"/>
    <d v="2024-01-19T00:00:00"/>
    <d v="2023-08-08T00:00:00"/>
    <d v="2024-08-07T00:00:00"/>
    <x v="0"/>
    <n v="63"/>
    <n v="2369"/>
  </r>
  <r>
    <x v="373"/>
    <x v="373"/>
    <x v="1"/>
    <x v="0"/>
    <n v="62535"/>
    <n v="34397.105038438072"/>
    <s v="Approved"/>
    <d v="2024-01-30T00:00:00"/>
    <d v="2023-09-23T00:00:00"/>
    <d v="2024-06-16T00:00:00"/>
    <x v="1"/>
    <n v="25"/>
    <n v="3818"/>
  </r>
  <r>
    <x v="374"/>
    <x v="374"/>
    <x v="2"/>
    <x v="3"/>
    <n v="86458"/>
    <n v="23452.219007941279"/>
    <s v="Approved"/>
    <d v="2024-03-13T00:00:00"/>
    <d v="2023-12-23T00:00:00"/>
    <d v="2024-02-08T00:00:00"/>
    <x v="1"/>
    <n v="60"/>
    <n v="4101"/>
  </r>
  <r>
    <x v="375"/>
    <x v="375"/>
    <x v="1"/>
    <x v="3"/>
    <n v="14175"/>
    <n v="82322.059328252784"/>
    <s v="Approved"/>
    <d v="2024-09-03T00:00:00"/>
    <d v="2023-12-13T00:00:00"/>
    <d v="2024-05-14T00:00:00"/>
    <x v="0"/>
    <n v="35"/>
    <n v="14977"/>
  </r>
  <r>
    <x v="376"/>
    <x v="376"/>
    <x v="1"/>
    <x v="2"/>
    <n v="56771"/>
    <n v="64978.620964464542"/>
    <s v="Approved"/>
    <d v="2024-03-01T00:00:00"/>
    <d v="2023-12-02T00:00:00"/>
    <d v="2024-04-22T00:00:00"/>
    <x v="0"/>
    <n v="23"/>
    <n v="5490"/>
  </r>
  <r>
    <x v="377"/>
    <x v="377"/>
    <x v="2"/>
    <x v="1"/>
    <n v="88925"/>
    <n v="19976.188022207931"/>
    <s v="Approved"/>
    <d v="2024-06-17T00:00:00"/>
    <d v="2023-02-17T00:00:00"/>
    <d v="2024-02-13T00:00:00"/>
    <x v="0"/>
    <n v="54"/>
    <n v="3779"/>
  </r>
  <r>
    <x v="378"/>
    <x v="378"/>
    <x v="3"/>
    <x v="0"/>
    <n v="68358"/>
    <n v="44449.864232188491"/>
    <s v="Approved"/>
    <d v="2024-02-19T00:00:00"/>
    <d v="2023-09-26T00:00:00"/>
    <d v="2024-04-08T00:00:00"/>
    <x v="0"/>
    <n v="67"/>
    <n v="9674"/>
  </r>
  <r>
    <x v="379"/>
    <x v="379"/>
    <x v="2"/>
    <x v="1"/>
    <n v="19327"/>
    <n v="26209.61215547975"/>
    <s v="Approved"/>
    <d v="2024-08-01T00:00:00"/>
    <d v="2023-10-22T00:00:00"/>
    <d v="2024-08-17T00:00:00"/>
    <x v="1"/>
    <n v="45"/>
    <n v="3364"/>
  </r>
  <r>
    <x v="380"/>
    <x v="380"/>
    <x v="1"/>
    <x v="1"/>
    <n v="49057"/>
    <n v="53301.242304989733"/>
    <s v="Rejected"/>
    <d v="2024-05-25T00:00:00"/>
    <d v="2023-01-28T00:00:00"/>
    <d v="2024-09-15T00:00:00"/>
    <x v="0"/>
    <n v="31"/>
    <n v="9294"/>
  </r>
  <r>
    <x v="381"/>
    <x v="381"/>
    <x v="3"/>
    <x v="2"/>
    <n v="8150"/>
    <n v="29116.19819069788"/>
    <s v="Pending"/>
    <d v="2024-05-17T00:00:00"/>
    <d v="2023-05-18T00:00:00"/>
    <d v="2024-10-18T00:00:00"/>
    <x v="0"/>
    <n v="30"/>
    <n v="14654"/>
  </r>
  <r>
    <x v="382"/>
    <x v="382"/>
    <x v="1"/>
    <x v="0"/>
    <n v="6425"/>
    <n v="43072.721276959353"/>
    <s v="Pending"/>
    <d v="2024-03-06T00:00:00"/>
    <d v="2023-09-03T00:00:00"/>
    <d v="2024-09-20T00:00:00"/>
    <x v="1"/>
    <n v="56"/>
    <n v="13534"/>
  </r>
  <r>
    <x v="383"/>
    <x v="383"/>
    <x v="2"/>
    <x v="0"/>
    <n v="18032"/>
    <n v="34536.713462832347"/>
    <s v="Pending"/>
    <d v="2024-01-26T00:00:00"/>
    <d v="2023-10-25T00:00:00"/>
    <d v="2024-07-18T00:00:00"/>
    <x v="0"/>
    <n v="44"/>
    <n v="14931"/>
  </r>
  <r>
    <x v="384"/>
    <x v="384"/>
    <x v="2"/>
    <x v="4"/>
    <n v="4198"/>
    <n v="48800.651717921217"/>
    <s v="Approved"/>
    <d v="2024-02-09T00:00:00"/>
    <d v="2023-01-29T00:00:00"/>
    <d v="2024-05-04T00:00:00"/>
    <x v="0"/>
    <n v="37"/>
    <n v="5676"/>
  </r>
  <r>
    <x v="385"/>
    <x v="385"/>
    <x v="1"/>
    <x v="1"/>
    <n v="62500"/>
    <n v="27713.527627153911"/>
    <s v="Approved"/>
    <d v="2024-01-18T00:00:00"/>
    <d v="2023-02-01T00:00:00"/>
    <d v="2024-09-24T00:00:00"/>
    <x v="0"/>
    <n v="38"/>
    <n v="4426"/>
  </r>
  <r>
    <x v="386"/>
    <x v="386"/>
    <x v="0"/>
    <x v="1"/>
    <n v="55394"/>
    <n v="5624.8191684231924"/>
    <s v="Rejected"/>
    <d v="2024-06-12T00:00:00"/>
    <d v="2023-06-17T00:00:00"/>
    <d v="2024-10-21T00:00:00"/>
    <x v="1"/>
    <n v="42"/>
    <n v="10264"/>
  </r>
  <r>
    <x v="387"/>
    <x v="387"/>
    <x v="0"/>
    <x v="3"/>
    <n v="22079"/>
    <n v="6686.5795748211312"/>
    <s v="Approved"/>
    <d v="2024-07-23T00:00:00"/>
    <d v="2023-12-20T00:00:00"/>
    <d v="2024-11-17T00:00:00"/>
    <x v="0"/>
    <n v="57"/>
    <n v="10089"/>
  </r>
  <r>
    <x v="388"/>
    <x v="388"/>
    <x v="2"/>
    <x v="4"/>
    <n v="38220"/>
    <n v="14185.45000654232"/>
    <s v="Approved"/>
    <d v="2024-04-12T00:00:00"/>
    <d v="2023-12-08T00:00:00"/>
    <d v="2024-11-20T00:00:00"/>
    <x v="1"/>
    <n v="37"/>
    <n v="4962"/>
  </r>
  <r>
    <x v="389"/>
    <x v="389"/>
    <x v="2"/>
    <x v="3"/>
    <n v="43874"/>
    <n v="20671.981888621991"/>
    <s v="Approved"/>
    <d v="2024-02-06T00:00:00"/>
    <d v="2023-07-24T00:00:00"/>
    <d v="2024-07-02T00:00:00"/>
    <x v="1"/>
    <n v="45"/>
    <n v="2859"/>
  </r>
  <r>
    <x v="390"/>
    <x v="390"/>
    <x v="0"/>
    <x v="3"/>
    <n v="15859"/>
    <n v="0"/>
    <s v="Approved"/>
    <d v="2024-06-25T00:00:00"/>
    <d v="2023-10-08T00:00:00"/>
    <d v="2024-05-20T00:00:00"/>
    <x v="0"/>
    <n v="25"/>
    <n v="14048"/>
  </r>
  <r>
    <x v="391"/>
    <x v="391"/>
    <x v="0"/>
    <x v="3"/>
    <n v="52460"/>
    <n v="0"/>
    <s v="Approved"/>
    <d v="2024-09-27T00:00:00"/>
    <d v="2023-04-11T00:00:00"/>
    <d v="2024-06-17T00:00:00"/>
    <x v="0"/>
    <n v="23"/>
    <n v="6138"/>
  </r>
  <r>
    <x v="392"/>
    <x v="392"/>
    <x v="1"/>
    <x v="2"/>
    <n v="33419"/>
    <n v="36900.270716568462"/>
    <s v="Pending"/>
    <d v="2024-07-26T00:00:00"/>
    <d v="2023-03-30T00:00:00"/>
    <d v="2024-12-16T00:00:00"/>
    <x v="0"/>
    <n v="63"/>
    <n v="4424"/>
  </r>
  <r>
    <x v="393"/>
    <x v="393"/>
    <x v="1"/>
    <x v="2"/>
    <n v="10705"/>
    <n v="22141.800973180609"/>
    <s v="Approved"/>
    <d v="2024-07-21T00:00:00"/>
    <d v="2023-09-30T00:00:00"/>
    <d v="2024-06-23T00:00:00"/>
    <x v="0"/>
    <n v="48"/>
    <n v="11256"/>
  </r>
  <r>
    <x v="394"/>
    <x v="394"/>
    <x v="0"/>
    <x v="3"/>
    <n v="44880"/>
    <n v="50106.545011141578"/>
    <s v="Approved"/>
    <d v="2024-08-14T00:00:00"/>
    <d v="2023-04-16T00:00:00"/>
    <d v="2024-04-25T00:00:00"/>
    <x v="1"/>
    <n v="53"/>
    <n v="12409"/>
  </r>
  <r>
    <x v="395"/>
    <x v="395"/>
    <x v="1"/>
    <x v="4"/>
    <n v="25236"/>
    <n v="80804.767325026274"/>
    <s v="Rejected"/>
    <d v="2024-06-11T00:00:00"/>
    <d v="2023-12-22T00:00:00"/>
    <d v="2024-04-13T00:00:00"/>
    <x v="0"/>
    <n v="36"/>
    <n v="6017"/>
  </r>
  <r>
    <x v="396"/>
    <x v="396"/>
    <x v="1"/>
    <x v="1"/>
    <n v="89955"/>
    <n v="19804.23695626466"/>
    <s v="Approved"/>
    <d v="2024-10-05T00:00:00"/>
    <d v="2023-02-26T00:00:00"/>
    <d v="2024-01-06T00:00:00"/>
    <x v="0"/>
    <n v="62"/>
    <n v="12451"/>
  </r>
  <r>
    <x v="397"/>
    <x v="397"/>
    <x v="3"/>
    <x v="4"/>
    <n v="87514"/>
    <n v="25860.251723095069"/>
    <s v="Approved"/>
    <d v="2024-10-19T00:00:00"/>
    <d v="2023-10-03T00:00:00"/>
    <d v="2024-11-16T00:00:00"/>
    <x v="0"/>
    <n v="62"/>
    <n v="13943"/>
  </r>
  <r>
    <x v="398"/>
    <x v="398"/>
    <x v="1"/>
    <x v="0"/>
    <n v="17358"/>
    <n v="19768.127524997501"/>
    <s v="Approved"/>
    <d v="2024-02-19T00:00:00"/>
    <d v="2023-02-05T00:00:00"/>
    <d v="2024-05-31T00:00:00"/>
    <x v="1"/>
    <n v="35"/>
    <n v="12278"/>
  </r>
  <r>
    <x v="399"/>
    <x v="399"/>
    <x v="2"/>
    <x v="2"/>
    <n v="96914"/>
    <n v="19614.183619451731"/>
    <s v="Pending"/>
    <d v="2024-08-14T00:00:00"/>
    <d v="2023-01-27T00:00:00"/>
    <d v="2024-03-28T00:00:00"/>
    <x v="0"/>
    <n v="21"/>
    <n v="10560"/>
  </r>
  <r>
    <x v="400"/>
    <x v="400"/>
    <x v="1"/>
    <x v="1"/>
    <n v="78918"/>
    <n v="67594.266105139293"/>
    <s v="Rejected"/>
    <d v="2024-04-23T00:00:00"/>
    <d v="2023-04-16T00:00:00"/>
    <d v="2024-09-17T00:00:00"/>
    <x v="0"/>
    <n v="53"/>
    <n v="12996"/>
  </r>
  <r>
    <x v="401"/>
    <x v="401"/>
    <x v="1"/>
    <x v="1"/>
    <n v="16596"/>
    <n v="19598.403245814719"/>
    <s v="Approved"/>
    <d v="2024-09-26T00:00:00"/>
    <d v="2023-12-08T00:00:00"/>
    <d v="2024-10-27T00:00:00"/>
    <x v="1"/>
    <n v="27"/>
    <n v="10342"/>
  </r>
  <r>
    <x v="402"/>
    <x v="402"/>
    <x v="0"/>
    <x v="0"/>
    <n v="35572"/>
    <n v="37965.311700110316"/>
    <s v="Pending"/>
    <d v="2024-04-28T00:00:00"/>
    <d v="2023-08-28T00:00:00"/>
    <d v="2024-03-29T00:00:00"/>
    <x v="1"/>
    <n v="32"/>
    <n v="3134"/>
  </r>
  <r>
    <x v="403"/>
    <x v="403"/>
    <x v="2"/>
    <x v="0"/>
    <n v="80757"/>
    <n v="4614.5826399980879"/>
    <s v="Approved"/>
    <d v="2024-02-15T00:00:00"/>
    <d v="2023-06-05T00:00:00"/>
    <d v="2024-02-09T00:00:00"/>
    <x v="0"/>
    <n v="61"/>
    <n v="7166"/>
  </r>
  <r>
    <x v="404"/>
    <x v="404"/>
    <x v="1"/>
    <x v="3"/>
    <n v="3279"/>
    <n v="32283.129559060249"/>
    <s v="Rejected"/>
    <d v="2024-01-02T00:00:00"/>
    <d v="2023-01-11T00:00:00"/>
    <d v="2024-01-14T00:00:00"/>
    <x v="0"/>
    <n v="27"/>
    <n v="7119"/>
  </r>
  <r>
    <x v="405"/>
    <x v="405"/>
    <x v="1"/>
    <x v="2"/>
    <n v="65197"/>
    <n v="57737.137596013752"/>
    <s v="Pending"/>
    <d v="2024-06-06T00:00:00"/>
    <d v="2023-11-08T00:00:00"/>
    <d v="2024-04-22T00:00:00"/>
    <x v="0"/>
    <n v="49"/>
    <n v="7694"/>
  </r>
  <r>
    <x v="406"/>
    <x v="406"/>
    <x v="3"/>
    <x v="2"/>
    <n v="64516"/>
    <n v="0"/>
    <s v="Pending"/>
    <d v="2024-06-27T00:00:00"/>
    <d v="2023-04-01T00:00:00"/>
    <d v="2024-01-01T00:00:00"/>
    <x v="0"/>
    <n v="51"/>
    <n v="12976"/>
  </r>
  <r>
    <x v="407"/>
    <x v="407"/>
    <x v="1"/>
    <x v="4"/>
    <n v="9083"/>
    <n v="41042.800789624402"/>
    <s v="Approved"/>
    <d v="2024-02-06T00:00:00"/>
    <d v="2023-12-26T00:00:00"/>
    <d v="2024-10-31T00:00:00"/>
    <x v="0"/>
    <n v="55"/>
    <n v="8136"/>
  </r>
  <r>
    <x v="408"/>
    <x v="408"/>
    <x v="1"/>
    <x v="3"/>
    <n v="19771"/>
    <n v="69785.334350182122"/>
    <s v="Rejected"/>
    <d v="2024-07-01T00:00:00"/>
    <d v="2023-01-20T00:00:00"/>
    <d v="2024-08-09T00:00:00"/>
    <x v="1"/>
    <n v="66"/>
    <n v="7485"/>
  </r>
  <r>
    <x v="409"/>
    <x v="409"/>
    <x v="3"/>
    <x v="3"/>
    <n v="31975"/>
    <n v="0"/>
    <s v="Pending"/>
    <d v="2024-07-30T00:00:00"/>
    <d v="2023-01-29T00:00:00"/>
    <d v="2024-04-19T00:00:00"/>
    <x v="1"/>
    <n v="49"/>
    <n v="6164"/>
  </r>
  <r>
    <x v="410"/>
    <x v="410"/>
    <x v="0"/>
    <x v="3"/>
    <n v="47648"/>
    <n v="18347.14927872143"/>
    <s v="Approved"/>
    <d v="2024-05-30T00:00:00"/>
    <d v="2023-08-18T00:00:00"/>
    <d v="2024-08-23T00:00:00"/>
    <x v="0"/>
    <n v="20"/>
    <n v="4346"/>
  </r>
  <r>
    <x v="411"/>
    <x v="411"/>
    <x v="1"/>
    <x v="3"/>
    <n v="50285"/>
    <n v="0"/>
    <s v="Pending"/>
    <d v="2024-07-30T00:00:00"/>
    <d v="2023-12-13T00:00:00"/>
    <d v="2024-05-30T00:00:00"/>
    <x v="0"/>
    <n v="62"/>
    <n v="7039"/>
  </r>
  <r>
    <x v="412"/>
    <x v="412"/>
    <x v="3"/>
    <x v="2"/>
    <n v="21063"/>
    <n v="42593.502880276057"/>
    <s v="Approved"/>
    <d v="2024-08-02T00:00:00"/>
    <d v="2023-04-27T00:00:00"/>
    <d v="2024-12-17T00:00:00"/>
    <x v="1"/>
    <n v="58"/>
    <n v="6897"/>
  </r>
  <r>
    <x v="413"/>
    <x v="413"/>
    <x v="2"/>
    <x v="2"/>
    <n v="69642"/>
    <n v="48581.041110026999"/>
    <s v="Pending"/>
    <d v="2024-09-30T00:00:00"/>
    <d v="2023-07-20T00:00:00"/>
    <d v="2024-06-29T00:00:00"/>
    <x v="0"/>
    <n v="36"/>
    <n v="12442"/>
  </r>
  <r>
    <x v="414"/>
    <x v="414"/>
    <x v="0"/>
    <x v="3"/>
    <n v="92093"/>
    <n v="39452.575686656033"/>
    <s v="Approved"/>
    <d v="2024-04-03T00:00:00"/>
    <d v="2023-09-18T00:00:00"/>
    <d v="2024-11-25T00:00:00"/>
    <x v="0"/>
    <n v="39"/>
    <n v="10252"/>
  </r>
  <r>
    <x v="415"/>
    <x v="415"/>
    <x v="2"/>
    <x v="4"/>
    <n v="88143"/>
    <n v="6468.1642946528309"/>
    <s v="Pending"/>
    <d v="2024-07-25T00:00:00"/>
    <d v="2023-08-10T00:00:00"/>
    <d v="2024-08-13T00:00:00"/>
    <x v="0"/>
    <n v="43"/>
    <n v="7041"/>
  </r>
  <r>
    <x v="416"/>
    <x v="416"/>
    <x v="2"/>
    <x v="1"/>
    <n v="39599"/>
    <n v="32141.088990956829"/>
    <s v="Approved"/>
    <d v="2024-09-22T00:00:00"/>
    <d v="2023-02-20T00:00:00"/>
    <d v="2024-04-01T00:00:00"/>
    <x v="0"/>
    <n v="69"/>
    <n v="13202"/>
  </r>
  <r>
    <x v="417"/>
    <x v="417"/>
    <x v="3"/>
    <x v="1"/>
    <n v="53920"/>
    <n v="48037.53263846779"/>
    <s v="Approved"/>
    <d v="2024-08-17T00:00:00"/>
    <d v="2023-11-24T00:00:00"/>
    <d v="2024-04-21T00:00:00"/>
    <x v="0"/>
    <n v="41"/>
    <n v="5901"/>
  </r>
  <r>
    <x v="418"/>
    <x v="418"/>
    <x v="1"/>
    <x v="4"/>
    <n v="30529"/>
    <n v="36357.542079573497"/>
    <s v="Approved"/>
    <d v="2024-04-28T00:00:00"/>
    <d v="2023-10-13T00:00:00"/>
    <d v="2024-08-02T00:00:00"/>
    <x v="1"/>
    <n v="48"/>
    <n v="3337"/>
  </r>
  <r>
    <x v="419"/>
    <x v="419"/>
    <x v="3"/>
    <x v="3"/>
    <n v="37954"/>
    <n v="15617.44723818837"/>
    <s v="Approved"/>
    <d v="2024-04-29T00:00:00"/>
    <d v="2023-02-11T00:00:00"/>
    <d v="2024-12-21T00:00:00"/>
    <x v="0"/>
    <n v="41"/>
    <n v="3184"/>
  </r>
  <r>
    <x v="420"/>
    <x v="420"/>
    <x v="3"/>
    <x v="2"/>
    <n v="29856"/>
    <n v="0"/>
    <s v="Approved"/>
    <d v="2024-07-12T00:00:00"/>
    <d v="2023-03-09T00:00:00"/>
    <d v="2024-04-07T00:00:00"/>
    <x v="0"/>
    <n v="63"/>
    <n v="6426"/>
  </r>
  <r>
    <x v="421"/>
    <x v="421"/>
    <x v="3"/>
    <x v="1"/>
    <n v="4573"/>
    <n v="42676.841186410224"/>
    <s v="Approved"/>
    <d v="2024-09-16T00:00:00"/>
    <d v="2023-12-26T00:00:00"/>
    <d v="2024-07-14T00:00:00"/>
    <x v="0"/>
    <n v="28"/>
    <n v="3551"/>
  </r>
  <r>
    <x v="422"/>
    <x v="422"/>
    <x v="3"/>
    <x v="0"/>
    <n v="80344"/>
    <n v="41833.984708961827"/>
    <s v="Approved"/>
    <d v="2024-01-10T00:00:00"/>
    <d v="2023-06-15T00:00:00"/>
    <d v="2024-07-04T00:00:00"/>
    <x v="1"/>
    <n v="56"/>
    <n v="14625"/>
  </r>
  <r>
    <x v="423"/>
    <x v="423"/>
    <x v="0"/>
    <x v="0"/>
    <n v="37367"/>
    <n v="13355.30855922294"/>
    <s v="Approved"/>
    <d v="2024-04-23T00:00:00"/>
    <d v="2023-03-06T00:00:00"/>
    <d v="2024-07-09T00:00:00"/>
    <x v="1"/>
    <n v="29"/>
    <n v="3629"/>
  </r>
  <r>
    <x v="424"/>
    <x v="424"/>
    <x v="1"/>
    <x v="4"/>
    <n v="62774"/>
    <n v="16001.750660214369"/>
    <s v="Approved"/>
    <d v="2024-01-23T00:00:00"/>
    <d v="2023-03-14T00:00:00"/>
    <d v="2024-03-19T00:00:00"/>
    <x v="1"/>
    <n v="55"/>
    <n v="11519"/>
  </r>
  <r>
    <x v="425"/>
    <x v="425"/>
    <x v="2"/>
    <x v="3"/>
    <n v="25752"/>
    <n v="73972.780063486585"/>
    <s v="Pending"/>
    <d v="2024-09-28T00:00:00"/>
    <d v="2023-08-05T00:00:00"/>
    <d v="2024-09-25T00:00:00"/>
    <x v="1"/>
    <n v="56"/>
    <n v="3526"/>
  </r>
  <r>
    <x v="426"/>
    <x v="426"/>
    <x v="2"/>
    <x v="1"/>
    <n v="57029"/>
    <n v="36051.327333990761"/>
    <s v="Approved"/>
    <d v="2024-02-27T00:00:00"/>
    <d v="2023-07-28T00:00:00"/>
    <d v="2024-04-23T00:00:00"/>
    <x v="0"/>
    <n v="47"/>
    <n v="11865"/>
  </r>
  <r>
    <x v="427"/>
    <x v="427"/>
    <x v="1"/>
    <x v="3"/>
    <n v="19685"/>
    <n v="27722.018850978598"/>
    <s v="Rejected"/>
    <d v="2024-01-10T00:00:00"/>
    <d v="2023-03-24T00:00:00"/>
    <d v="2024-07-28T00:00:00"/>
    <x v="1"/>
    <n v="47"/>
    <n v="3361"/>
  </r>
  <r>
    <x v="428"/>
    <x v="428"/>
    <x v="2"/>
    <x v="1"/>
    <n v="53693"/>
    <n v="9529.8478888269328"/>
    <s v="Pending"/>
    <d v="2024-03-15T00:00:00"/>
    <d v="2023-01-08T00:00:00"/>
    <d v="2024-09-28T00:00:00"/>
    <x v="0"/>
    <n v="61"/>
    <n v="11765"/>
  </r>
  <r>
    <x v="429"/>
    <x v="429"/>
    <x v="1"/>
    <x v="4"/>
    <n v="57961"/>
    <n v="42613.405989641251"/>
    <s v="Approved"/>
    <d v="2024-06-20T00:00:00"/>
    <d v="2023-09-18T00:00:00"/>
    <d v="2024-02-13T00:00:00"/>
    <x v="0"/>
    <n v="62"/>
    <n v="12878"/>
  </r>
  <r>
    <x v="430"/>
    <x v="430"/>
    <x v="2"/>
    <x v="4"/>
    <n v="78908"/>
    <n v="70588.131868439887"/>
    <s v="Approved"/>
    <d v="2024-02-04T00:00:00"/>
    <d v="2023-08-19T00:00:00"/>
    <d v="2024-05-01T00:00:00"/>
    <x v="1"/>
    <n v="40"/>
    <n v="6370"/>
  </r>
  <r>
    <x v="431"/>
    <x v="431"/>
    <x v="3"/>
    <x v="0"/>
    <n v="76532"/>
    <n v="5222.4182537962206"/>
    <s v="Pending"/>
    <d v="2024-10-27T00:00:00"/>
    <d v="2023-11-28T00:00:00"/>
    <d v="2024-02-04T00:00:00"/>
    <x v="1"/>
    <n v="43"/>
    <n v="7283"/>
  </r>
  <r>
    <x v="432"/>
    <x v="432"/>
    <x v="2"/>
    <x v="3"/>
    <n v="83994"/>
    <n v="50616.576731449008"/>
    <s v="Approved"/>
    <d v="2024-10-11T00:00:00"/>
    <d v="2023-02-05T00:00:00"/>
    <d v="2024-07-04T00:00:00"/>
    <x v="1"/>
    <n v="61"/>
    <n v="9610"/>
  </r>
  <r>
    <x v="433"/>
    <x v="433"/>
    <x v="1"/>
    <x v="0"/>
    <n v="58133"/>
    <n v="38883.71403919661"/>
    <s v="Approved"/>
    <d v="2024-06-26T00:00:00"/>
    <d v="2023-03-21T00:00:00"/>
    <d v="2024-05-05T00:00:00"/>
    <x v="1"/>
    <n v="59"/>
    <n v="12558"/>
  </r>
  <r>
    <x v="434"/>
    <x v="434"/>
    <x v="1"/>
    <x v="3"/>
    <n v="99425"/>
    <n v="48986.385778919459"/>
    <s v="Approved"/>
    <d v="2024-09-09T00:00:00"/>
    <d v="2023-02-26T00:00:00"/>
    <d v="2024-06-23T00:00:00"/>
    <x v="1"/>
    <n v="21"/>
    <n v="13949"/>
  </r>
  <r>
    <x v="435"/>
    <x v="435"/>
    <x v="1"/>
    <x v="0"/>
    <n v="63268"/>
    <n v="16322.103170163449"/>
    <s v="Pending"/>
    <d v="2024-09-24T00:00:00"/>
    <d v="2023-03-24T00:00:00"/>
    <d v="2024-10-15T00:00:00"/>
    <x v="0"/>
    <n v="27"/>
    <n v="12626"/>
  </r>
  <r>
    <x v="436"/>
    <x v="436"/>
    <x v="1"/>
    <x v="2"/>
    <n v="94201"/>
    <n v="72164.860757419025"/>
    <s v="Approved"/>
    <d v="2024-02-03T00:00:00"/>
    <d v="2023-02-01T00:00:00"/>
    <d v="2024-04-26T00:00:00"/>
    <x v="1"/>
    <n v="67"/>
    <n v="3993"/>
  </r>
  <r>
    <x v="437"/>
    <x v="437"/>
    <x v="1"/>
    <x v="2"/>
    <n v="40243"/>
    <n v="36582.935568759684"/>
    <s v="Approved"/>
    <d v="2024-02-23T00:00:00"/>
    <d v="2023-01-27T00:00:00"/>
    <d v="2024-04-29T00:00:00"/>
    <x v="1"/>
    <n v="46"/>
    <n v="2869"/>
  </r>
  <r>
    <x v="438"/>
    <x v="438"/>
    <x v="0"/>
    <x v="2"/>
    <n v="59384"/>
    <n v="0"/>
    <s v="Rejected"/>
    <d v="2024-02-15T00:00:00"/>
    <d v="2023-02-10T00:00:00"/>
    <d v="2024-01-22T00:00:00"/>
    <x v="1"/>
    <n v="41"/>
    <n v="3014"/>
  </r>
  <r>
    <x v="439"/>
    <x v="439"/>
    <x v="0"/>
    <x v="2"/>
    <n v="33653"/>
    <n v="25495.234969738431"/>
    <s v="Pending"/>
    <d v="2024-03-14T00:00:00"/>
    <d v="2023-12-20T00:00:00"/>
    <d v="2024-03-27T00:00:00"/>
    <x v="0"/>
    <n v="56"/>
    <n v="12103"/>
  </r>
  <r>
    <x v="440"/>
    <x v="440"/>
    <x v="2"/>
    <x v="1"/>
    <n v="28657"/>
    <n v="29503.48188722922"/>
    <s v="Approved"/>
    <d v="2024-10-02T00:00:00"/>
    <d v="2023-01-17T00:00:00"/>
    <d v="2024-02-18T00:00:00"/>
    <x v="1"/>
    <n v="46"/>
    <n v="2602"/>
  </r>
  <r>
    <x v="441"/>
    <x v="441"/>
    <x v="1"/>
    <x v="2"/>
    <n v="41952"/>
    <n v="0"/>
    <s v="Approved"/>
    <d v="2024-05-22T00:00:00"/>
    <d v="2023-08-25T00:00:00"/>
    <d v="2024-10-05T00:00:00"/>
    <x v="0"/>
    <n v="48"/>
    <n v="14013"/>
  </r>
  <r>
    <x v="442"/>
    <x v="442"/>
    <x v="2"/>
    <x v="4"/>
    <n v="24180"/>
    <n v="53175.85680952797"/>
    <s v="Pending"/>
    <d v="2024-06-25T00:00:00"/>
    <d v="2023-05-08T00:00:00"/>
    <d v="2024-03-15T00:00:00"/>
    <x v="1"/>
    <n v="22"/>
    <n v="2690"/>
  </r>
  <r>
    <x v="443"/>
    <x v="443"/>
    <x v="1"/>
    <x v="4"/>
    <n v="99432"/>
    <n v="17634.1892065381"/>
    <s v="Approved"/>
    <d v="2024-04-27T00:00:00"/>
    <d v="2023-09-21T00:00:00"/>
    <d v="2024-10-04T00:00:00"/>
    <x v="1"/>
    <n v="63"/>
    <n v="10685"/>
  </r>
  <r>
    <x v="444"/>
    <x v="444"/>
    <x v="1"/>
    <x v="1"/>
    <n v="80411"/>
    <n v="7924.5859469711359"/>
    <s v="Approved"/>
    <d v="2024-04-21T00:00:00"/>
    <d v="2023-02-19T00:00:00"/>
    <d v="2024-09-19T00:00:00"/>
    <x v="0"/>
    <n v="32"/>
    <n v="2489"/>
  </r>
  <r>
    <x v="445"/>
    <x v="445"/>
    <x v="0"/>
    <x v="2"/>
    <n v="3622"/>
    <n v="15780.87200262978"/>
    <s v="Approved"/>
    <d v="2024-02-02T00:00:00"/>
    <d v="2023-11-10T00:00:00"/>
    <d v="2024-09-05T00:00:00"/>
    <x v="1"/>
    <n v="64"/>
    <n v="8864"/>
  </r>
  <r>
    <x v="446"/>
    <x v="446"/>
    <x v="0"/>
    <x v="2"/>
    <n v="50756"/>
    <n v="41612.553673215778"/>
    <s v="Rejected"/>
    <d v="2024-05-02T00:00:00"/>
    <d v="2023-06-05T00:00:00"/>
    <d v="2024-06-06T00:00:00"/>
    <x v="0"/>
    <n v="29"/>
    <n v="9240"/>
  </r>
  <r>
    <x v="447"/>
    <x v="447"/>
    <x v="3"/>
    <x v="2"/>
    <n v="42809"/>
    <n v="0"/>
    <s v="Approved"/>
    <d v="2024-07-11T00:00:00"/>
    <d v="2023-08-16T00:00:00"/>
    <d v="2024-07-19T00:00:00"/>
    <x v="0"/>
    <n v="55"/>
    <n v="12748"/>
  </r>
  <r>
    <x v="448"/>
    <x v="448"/>
    <x v="0"/>
    <x v="0"/>
    <n v="18725"/>
    <n v="51256.358972248992"/>
    <s v="Pending"/>
    <d v="2024-08-30T00:00:00"/>
    <d v="2023-03-13T00:00:00"/>
    <d v="2024-03-12T00:00:00"/>
    <x v="0"/>
    <n v="28"/>
    <n v="14677"/>
  </r>
  <r>
    <x v="449"/>
    <x v="449"/>
    <x v="3"/>
    <x v="3"/>
    <n v="63396"/>
    <n v="18743.628996796549"/>
    <s v="Pending"/>
    <d v="2024-08-04T00:00:00"/>
    <d v="2023-11-29T00:00:00"/>
    <d v="2024-06-02T00:00:00"/>
    <x v="1"/>
    <n v="46"/>
    <n v="9786"/>
  </r>
  <r>
    <x v="450"/>
    <x v="450"/>
    <x v="3"/>
    <x v="0"/>
    <n v="53226"/>
    <n v="29796.465441217209"/>
    <s v="Approved"/>
    <d v="2024-03-07T00:00:00"/>
    <d v="2023-09-24T00:00:00"/>
    <d v="2024-11-28T00:00:00"/>
    <x v="1"/>
    <n v="53"/>
    <n v="10024"/>
  </r>
  <r>
    <x v="451"/>
    <x v="451"/>
    <x v="3"/>
    <x v="3"/>
    <n v="83182"/>
    <n v="18737.677034802851"/>
    <s v="Approved"/>
    <d v="2024-03-04T00:00:00"/>
    <d v="2023-03-11T00:00:00"/>
    <d v="2024-03-03T00:00:00"/>
    <x v="1"/>
    <n v="20"/>
    <n v="2294"/>
  </r>
  <r>
    <x v="452"/>
    <x v="452"/>
    <x v="3"/>
    <x v="2"/>
    <n v="84565"/>
    <n v="51858.422534124838"/>
    <s v="Approved"/>
    <d v="2024-05-28T00:00:00"/>
    <d v="2023-01-27T00:00:00"/>
    <d v="2024-10-19T00:00:00"/>
    <x v="0"/>
    <n v="51"/>
    <n v="7488"/>
  </r>
  <r>
    <x v="453"/>
    <x v="453"/>
    <x v="3"/>
    <x v="2"/>
    <n v="31402"/>
    <n v="28008.52159849957"/>
    <s v="Approved"/>
    <d v="2024-04-30T00:00:00"/>
    <d v="2023-03-21T00:00:00"/>
    <d v="2024-01-13T00:00:00"/>
    <x v="1"/>
    <n v="44"/>
    <n v="6027"/>
  </r>
  <r>
    <x v="454"/>
    <x v="454"/>
    <x v="2"/>
    <x v="0"/>
    <n v="6263"/>
    <n v="51809.427538758602"/>
    <s v="Approved"/>
    <d v="2024-05-27T00:00:00"/>
    <d v="2023-08-01T00:00:00"/>
    <d v="2024-06-24T00:00:00"/>
    <x v="0"/>
    <n v="48"/>
    <n v="13035"/>
  </r>
  <r>
    <x v="455"/>
    <x v="455"/>
    <x v="0"/>
    <x v="0"/>
    <n v="98523"/>
    <n v="41645.397455391823"/>
    <s v="Pending"/>
    <d v="2024-09-05T00:00:00"/>
    <d v="2023-05-12T00:00:00"/>
    <d v="2024-06-10T00:00:00"/>
    <x v="1"/>
    <n v="26"/>
    <n v="4912"/>
  </r>
  <r>
    <x v="456"/>
    <x v="456"/>
    <x v="3"/>
    <x v="3"/>
    <n v="48828"/>
    <n v="65187.7196606898"/>
    <s v="Approved"/>
    <d v="2024-04-09T00:00:00"/>
    <d v="2023-04-28T00:00:00"/>
    <d v="2024-03-25T00:00:00"/>
    <x v="0"/>
    <n v="68"/>
    <n v="11909"/>
  </r>
  <r>
    <x v="457"/>
    <x v="457"/>
    <x v="1"/>
    <x v="4"/>
    <n v="49924"/>
    <n v="0"/>
    <s v="Pending"/>
    <d v="2024-02-18T00:00:00"/>
    <d v="2023-06-13T00:00:00"/>
    <d v="2024-06-11T00:00:00"/>
    <x v="0"/>
    <n v="22"/>
    <n v="12788"/>
  </r>
  <r>
    <x v="458"/>
    <x v="458"/>
    <x v="0"/>
    <x v="3"/>
    <n v="76182"/>
    <n v="24100.17164882716"/>
    <s v="Approved"/>
    <d v="2024-08-28T00:00:00"/>
    <d v="2023-10-06T00:00:00"/>
    <d v="2024-04-12T00:00:00"/>
    <x v="0"/>
    <n v="39"/>
    <n v="6744"/>
  </r>
  <r>
    <x v="459"/>
    <x v="459"/>
    <x v="0"/>
    <x v="0"/>
    <n v="95065"/>
    <n v="45113.827482728288"/>
    <s v="Approved"/>
    <d v="2024-07-26T00:00:00"/>
    <d v="2023-04-23T00:00:00"/>
    <d v="2024-05-30T00:00:00"/>
    <x v="1"/>
    <n v="39"/>
    <n v="3873"/>
  </r>
  <r>
    <x v="460"/>
    <x v="460"/>
    <x v="3"/>
    <x v="0"/>
    <n v="61052"/>
    <n v="21909.169195379531"/>
    <s v="Approved"/>
    <d v="2024-01-25T00:00:00"/>
    <d v="2023-05-19T00:00:00"/>
    <d v="2024-05-19T00:00:00"/>
    <x v="0"/>
    <n v="49"/>
    <n v="14855"/>
  </r>
  <r>
    <x v="461"/>
    <x v="461"/>
    <x v="2"/>
    <x v="1"/>
    <n v="13664"/>
    <n v="62444.205951572869"/>
    <s v="Approved"/>
    <d v="2024-05-03T00:00:00"/>
    <d v="2023-02-11T00:00:00"/>
    <d v="2024-12-10T00:00:00"/>
    <x v="0"/>
    <n v="54"/>
    <n v="5258"/>
  </r>
  <r>
    <x v="462"/>
    <x v="462"/>
    <x v="3"/>
    <x v="0"/>
    <n v="37737"/>
    <n v="91736.129799045317"/>
    <s v="Pending"/>
    <d v="2024-04-25T00:00:00"/>
    <d v="2023-09-30T00:00:00"/>
    <d v="2024-02-13T00:00:00"/>
    <x v="0"/>
    <n v="54"/>
    <n v="4817"/>
  </r>
  <r>
    <x v="463"/>
    <x v="463"/>
    <x v="2"/>
    <x v="1"/>
    <n v="91563"/>
    <n v="70609.148655436089"/>
    <s v="Approved"/>
    <d v="2024-09-24T00:00:00"/>
    <d v="2023-05-23T00:00:00"/>
    <d v="2024-10-14T00:00:00"/>
    <x v="0"/>
    <n v="68"/>
    <n v="10636"/>
  </r>
  <r>
    <x v="464"/>
    <x v="464"/>
    <x v="1"/>
    <x v="4"/>
    <n v="31373"/>
    <n v="42402.629698503893"/>
    <s v="Approved"/>
    <d v="2024-03-13T00:00:00"/>
    <d v="2023-01-25T00:00:00"/>
    <d v="2024-09-25T00:00:00"/>
    <x v="0"/>
    <n v="58"/>
    <n v="5641"/>
  </r>
  <r>
    <x v="465"/>
    <x v="465"/>
    <x v="0"/>
    <x v="3"/>
    <n v="38397"/>
    <n v="30164.861414211959"/>
    <s v="Approved"/>
    <d v="2024-09-26T00:00:00"/>
    <d v="2023-02-19T00:00:00"/>
    <d v="2024-05-15T00:00:00"/>
    <x v="0"/>
    <n v="46"/>
    <n v="6458"/>
  </r>
  <r>
    <x v="466"/>
    <x v="466"/>
    <x v="1"/>
    <x v="3"/>
    <n v="88145"/>
    <n v="56204.893512914226"/>
    <s v="Approved"/>
    <d v="2024-07-12T00:00:00"/>
    <d v="2023-05-15T00:00:00"/>
    <d v="2024-12-28T00:00:00"/>
    <x v="1"/>
    <n v="45"/>
    <n v="7307"/>
  </r>
  <r>
    <x v="467"/>
    <x v="467"/>
    <x v="2"/>
    <x v="1"/>
    <n v="40709"/>
    <n v="41661.075072048268"/>
    <s v="Approved"/>
    <d v="2024-09-06T00:00:00"/>
    <d v="2023-11-20T00:00:00"/>
    <d v="2024-06-02T00:00:00"/>
    <x v="1"/>
    <n v="33"/>
    <n v="10933"/>
  </r>
  <r>
    <x v="468"/>
    <x v="468"/>
    <x v="2"/>
    <x v="3"/>
    <n v="63120"/>
    <n v="17869.39824229875"/>
    <s v="Approved"/>
    <d v="2024-06-09T00:00:00"/>
    <d v="2023-01-07T00:00:00"/>
    <d v="2024-09-02T00:00:00"/>
    <x v="0"/>
    <n v="36"/>
    <n v="4041"/>
  </r>
  <r>
    <x v="469"/>
    <x v="469"/>
    <x v="1"/>
    <x v="0"/>
    <n v="21250"/>
    <n v="61233.192476495897"/>
    <s v="Rejected"/>
    <d v="2024-10-22T00:00:00"/>
    <d v="2023-08-10T00:00:00"/>
    <d v="2024-02-29T00:00:00"/>
    <x v="1"/>
    <n v="37"/>
    <n v="2679"/>
  </r>
  <r>
    <x v="470"/>
    <x v="470"/>
    <x v="2"/>
    <x v="2"/>
    <n v="23172"/>
    <n v="56798.624279662406"/>
    <s v="Approved"/>
    <d v="2024-06-20T00:00:00"/>
    <d v="2023-02-25T00:00:00"/>
    <d v="2024-06-21T00:00:00"/>
    <x v="1"/>
    <n v="64"/>
    <n v="12659"/>
  </r>
  <r>
    <x v="471"/>
    <x v="471"/>
    <x v="1"/>
    <x v="1"/>
    <n v="13555"/>
    <n v="36230.112788852239"/>
    <s v="Pending"/>
    <d v="2024-09-14T00:00:00"/>
    <d v="2023-05-14T00:00:00"/>
    <d v="2024-02-01T00:00:00"/>
    <x v="0"/>
    <n v="48"/>
    <n v="13889"/>
  </r>
  <r>
    <x v="472"/>
    <x v="472"/>
    <x v="0"/>
    <x v="3"/>
    <n v="89410"/>
    <n v="7351.0536344897428"/>
    <s v="Approved"/>
    <d v="2024-04-16T00:00:00"/>
    <d v="2023-07-16T00:00:00"/>
    <d v="2024-04-16T00:00:00"/>
    <x v="0"/>
    <n v="39"/>
    <n v="7738"/>
  </r>
  <r>
    <x v="473"/>
    <x v="473"/>
    <x v="1"/>
    <x v="1"/>
    <n v="80617"/>
    <n v="19348.700105394029"/>
    <s v="Approved"/>
    <d v="2024-04-28T00:00:00"/>
    <d v="2023-05-03T00:00:00"/>
    <d v="2024-10-30T00:00:00"/>
    <x v="0"/>
    <n v="46"/>
    <n v="7668"/>
  </r>
  <r>
    <x v="474"/>
    <x v="474"/>
    <x v="0"/>
    <x v="1"/>
    <n v="55276"/>
    <n v="44379.146534510561"/>
    <s v="Approved"/>
    <d v="2024-10-04T00:00:00"/>
    <d v="2023-12-24T00:00:00"/>
    <d v="2024-09-25T00:00:00"/>
    <x v="1"/>
    <n v="37"/>
    <n v="11550"/>
  </r>
  <r>
    <x v="475"/>
    <x v="475"/>
    <x v="1"/>
    <x v="2"/>
    <n v="59492"/>
    <n v="0"/>
    <s v="Approved"/>
    <d v="2024-06-21T00:00:00"/>
    <d v="2023-02-23T00:00:00"/>
    <d v="2024-07-23T00:00:00"/>
    <x v="0"/>
    <n v="23"/>
    <n v="9697"/>
  </r>
  <r>
    <x v="476"/>
    <x v="476"/>
    <x v="2"/>
    <x v="0"/>
    <n v="55002"/>
    <n v="85182.272270988746"/>
    <s v="Approved"/>
    <d v="2024-07-23T00:00:00"/>
    <d v="2023-09-27T00:00:00"/>
    <d v="2024-08-14T00:00:00"/>
    <x v="1"/>
    <n v="20"/>
    <n v="10033"/>
  </r>
  <r>
    <x v="477"/>
    <x v="477"/>
    <x v="1"/>
    <x v="1"/>
    <n v="91599"/>
    <n v="30825.092762024629"/>
    <s v="Approved"/>
    <d v="2024-05-05T00:00:00"/>
    <d v="2023-05-30T00:00:00"/>
    <d v="2024-04-20T00:00:00"/>
    <x v="0"/>
    <n v="69"/>
    <n v="2062"/>
  </r>
  <r>
    <x v="478"/>
    <x v="478"/>
    <x v="2"/>
    <x v="3"/>
    <n v="74355"/>
    <n v="30255.68266555333"/>
    <s v="Approved"/>
    <d v="2024-01-29T00:00:00"/>
    <d v="2023-11-11T00:00:00"/>
    <d v="2024-06-03T00:00:00"/>
    <x v="1"/>
    <n v="20"/>
    <n v="9829"/>
  </r>
  <r>
    <x v="479"/>
    <x v="479"/>
    <x v="1"/>
    <x v="4"/>
    <n v="93248"/>
    <n v="38106.11678827116"/>
    <s v="Approved"/>
    <d v="2024-06-17T00:00:00"/>
    <d v="2023-05-10T00:00:00"/>
    <d v="2024-06-17T00:00:00"/>
    <x v="0"/>
    <n v="45"/>
    <n v="12751"/>
  </r>
  <r>
    <x v="480"/>
    <x v="480"/>
    <x v="1"/>
    <x v="1"/>
    <n v="26762"/>
    <n v="74769.761364762715"/>
    <s v="Approved"/>
    <d v="2024-05-29T00:00:00"/>
    <d v="2023-09-17T00:00:00"/>
    <d v="2024-03-20T00:00:00"/>
    <x v="0"/>
    <n v="64"/>
    <n v="13961"/>
  </r>
  <r>
    <x v="481"/>
    <x v="481"/>
    <x v="3"/>
    <x v="1"/>
    <n v="13046"/>
    <n v="14793.25973470638"/>
    <s v="Rejected"/>
    <d v="2024-01-23T00:00:00"/>
    <d v="2023-12-31T00:00:00"/>
    <d v="2024-11-27T00:00:00"/>
    <x v="1"/>
    <n v="39"/>
    <n v="9352"/>
  </r>
  <r>
    <x v="482"/>
    <x v="482"/>
    <x v="2"/>
    <x v="2"/>
    <n v="98999"/>
    <n v="30319.29353303017"/>
    <s v="Approved"/>
    <d v="2024-01-05T00:00:00"/>
    <d v="2023-09-20T00:00:00"/>
    <d v="2024-06-20T00:00:00"/>
    <x v="1"/>
    <n v="42"/>
    <n v="8915"/>
  </r>
  <r>
    <x v="483"/>
    <x v="483"/>
    <x v="3"/>
    <x v="0"/>
    <n v="30769"/>
    <n v="0"/>
    <s v="Approved"/>
    <d v="2024-06-27T00:00:00"/>
    <d v="2023-10-02T00:00:00"/>
    <d v="2024-03-13T00:00:00"/>
    <x v="1"/>
    <n v="29"/>
    <n v="14543"/>
  </r>
  <r>
    <x v="484"/>
    <x v="484"/>
    <x v="2"/>
    <x v="4"/>
    <n v="55302"/>
    <n v="66375.819850127751"/>
    <s v="Approved"/>
    <d v="2024-02-16T00:00:00"/>
    <d v="2023-09-02T00:00:00"/>
    <d v="2024-10-12T00:00:00"/>
    <x v="1"/>
    <n v="30"/>
    <n v="10326"/>
  </r>
  <r>
    <x v="485"/>
    <x v="485"/>
    <x v="3"/>
    <x v="3"/>
    <n v="25150"/>
    <n v="52542.927821026307"/>
    <s v="Approved"/>
    <d v="2024-07-15T00:00:00"/>
    <d v="2023-12-21T00:00:00"/>
    <d v="2024-07-07T00:00:00"/>
    <x v="1"/>
    <n v="60"/>
    <n v="5644"/>
  </r>
  <r>
    <x v="486"/>
    <x v="486"/>
    <x v="0"/>
    <x v="4"/>
    <n v="70247"/>
    <n v="66833.939693687644"/>
    <s v="Approved"/>
    <d v="2024-10-13T00:00:00"/>
    <d v="2023-06-02T00:00:00"/>
    <d v="2024-08-22T00:00:00"/>
    <x v="1"/>
    <n v="60"/>
    <n v="6970"/>
  </r>
  <r>
    <x v="487"/>
    <x v="487"/>
    <x v="1"/>
    <x v="3"/>
    <n v="6853"/>
    <n v="7833.3958548634473"/>
    <s v="Approved"/>
    <d v="2024-07-23T00:00:00"/>
    <d v="2023-02-12T00:00:00"/>
    <d v="2024-06-10T00:00:00"/>
    <x v="0"/>
    <n v="24"/>
    <n v="12327"/>
  </r>
  <r>
    <x v="488"/>
    <x v="488"/>
    <x v="2"/>
    <x v="0"/>
    <n v="96613"/>
    <n v="26046.725047895769"/>
    <s v="Approved"/>
    <d v="2024-08-12T00:00:00"/>
    <d v="2023-07-13T00:00:00"/>
    <d v="2024-07-19T00:00:00"/>
    <x v="1"/>
    <n v="20"/>
    <n v="10003"/>
  </r>
  <r>
    <x v="489"/>
    <x v="489"/>
    <x v="2"/>
    <x v="3"/>
    <n v="91399"/>
    <n v="0"/>
    <s v="Approved"/>
    <d v="2024-09-03T00:00:00"/>
    <d v="2023-05-02T00:00:00"/>
    <d v="2024-02-03T00:00:00"/>
    <x v="0"/>
    <n v="36"/>
    <n v="5278"/>
  </r>
  <r>
    <x v="490"/>
    <x v="490"/>
    <x v="1"/>
    <x v="2"/>
    <n v="23792"/>
    <n v="0"/>
    <s v="Approved"/>
    <d v="2024-06-02T00:00:00"/>
    <d v="2023-12-05T00:00:00"/>
    <d v="2024-05-20T00:00:00"/>
    <x v="0"/>
    <n v="41"/>
    <n v="9296"/>
  </r>
  <r>
    <x v="491"/>
    <x v="491"/>
    <x v="2"/>
    <x v="2"/>
    <n v="61129"/>
    <n v="61683.986912179309"/>
    <s v="Approved"/>
    <d v="2024-04-04T00:00:00"/>
    <d v="2023-05-05T00:00:00"/>
    <d v="2024-05-05T00:00:00"/>
    <x v="1"/>
    <n v="53"/>
    <n v="11014"/>
  </r>
  <r>
    <x v="492"/>
    <x v="492"/>
    <x v="2"/>
    <x v="2"/>
    <n v="76478"/>
    <n v="0"/>
    <s v="Approved"/>
    <d v="2024-02-19T00:00:00"/>
    <d v="2023-10-10T00:00:00"/>
    <d v="2024-07-31T00:00:00"/>
    <x v="0"/>
    <n v="64"/>
    <n v="5074"/>
  </r>
  <r>
    <x v="493"/>
    <x v="493"/>
    <x v="3"/>
    <x v="2"/>
    <n v="69298"/>
    <n v="0"/>
    <s v="Approved"/>
    <d v="2024-02-21T00:00:00"/>
    <d v="2023-03-17T00:00:00"/>
    <d v="2024-03-04T00:00:00"/>
    <x v="1"/>
    <n v="60"/>
    <n v="13173"/>
  </r>
  <r>
    <x v="494"/>
    <x v="494"/>
    <x v="2"/>
    <x v="4"/>
    <n v="33987"/>
    <n v="0"/>
    <s v="Approved"/>
    <d v="2024-04-20T00:00:00"/>
    <d v="2023-04-27T00:00:00"/>
    <d v="2024-07-01T00:00:00"/>
    <x v="1"/>
    <n v="48"/>
    <n v="10312"/>
  </r>
  <r>
    <x v="495"/>
    <x v="495"/>
    <x v="0"/>
    <x v="0"/>
    <n v="17850"/>
    <n v="47723.768936795786"/>
    <s v="Pending"/>
    <d v="2024-06-20T00:00:00"/>
    <d v="2023-01-27T00:00:00"/>
    <d v="2024-11-24T00:00:00"/>
    <x v="0"/>
    <n v="23"/>
    <n v="9552"/>
  </r>
  <r>
    <x v="496"/>
    <x v="496"/>
    <x v="0"/>
    <x v="3"/>
    <n v="14112"/>
    <n v="26036.799679527419"/>
    <s v="Approved"/>
    <d v="2024-06-11T00:00:00"/>
    <d v="2023-09-14T00:00:00"/>
    <d v="2024-07-31T00:00:00"/>
    <x v="0"/>
    <n v="24"/>
    <n v="3637"/>
  </r>
  <r>
    <x v="497"/>
    <x v="497"/>
    <x v="1"/>
    <x v="3"/>
    <n v="26058"/>
    <n v="20307.01629957397"/>
    <s v="Approved"/>
    <d v="2024-08-13T00:00:00"/>
    <d v="2023-03-23T00:00:00"/>
    <d v="2024-09-14T00:00:00"/>
    <x v="1"/>
    <n v="30"/>
    <n v="7103"/>
  </r>
  <r>
    <x v="498"/>
    <x v="498"/>
    <x v="2"/>
    <x v="2"/>
    <n v="47420"/>
    <n v="44325.306714504557"/>
    <s v="Approved"/>
    <d v="2024-07-02T00:00:00"/>
    <d v="2023-06-08T00:00:00"/>
    <d v="2024-07-27T00:00:00"/>
    <x v="1"/>
    <n v="40"/>
    <n v="11116"/>
  </r>
  <r>
    <x v="499"/>
    <x v="499"/>
    <x v="1"/>
    <x v="2"/>
    <n v="40890"/>
    <n v="73324.357344213975"/>
    <s v="Rejected"/>
    <d v="2024-06-16T00:00:00"/>
    <d v="2023-10-05T00:00:00"/>
    <d v="2024-05-01T00:00:00"/>
    <x v="0"/>
    <n v="54"/>
    <n v="26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G1:H4" firstHeaderRow="1" firstDataRow="1" firstDataCol="1"/>
  <pivotFields count="13"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>
      <items count="50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dataField="1" showAll="0"/>
    <pivotField showAll="0"/>
    <pivotField numFmtId="168" showAll="0"/>
    <pivotField numFmtId="168" showAll="0"/>
    <pivotField showAll="0"/>
    <pivotField numFmtId="14" showAll="0"/>
    <pivotField numFmtId="14" showAll="0"/>
    <pivotField numFmtId="14" showAll="0"/>
    <pivotField axis="axisRow" showAll="0">
      <items count="3">
        <item x="1"/>
        <item x="0"/>
        <item t="default"/>
      </items>
    </pivotField>
    <pivotField showAll="0"/>
    <pivotField numFmtId="168"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Policy_Type" fld="2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5">
  <location ref="D1:E7" firstHeaderRow="1" firstDataRow="1" firstDataCol="1"/>
  <pivotFields count="13">
    <pivotField showAll="0"/>
    <pivotField showAll="0"/>
    <pivotField dataField="1" showAll="0"/>
    <pivotField axis="axisRow" showAll="0">
      <items count="6">
        <item x="4"/>
        <item x="0"/>
        <item x="2"/>
        <item x="3"/>
        <item x="1"/>
        <item t="default"/>
      </items>
    </pivotField>
    <pivotField numFmtId="168" showAll="0"/>
    <pivotField numFmtId="168" showAll="0"/>
    <pivotField showAll="0"/>
    <pivotField numFmtId="14" showAll="0"/>
    <pivotField numFmtId="14" showAll="0"/>
    <pivotField numFmtId="14" showAll="0"/>
    <pivotField showAll="0">
      <items count="3">
        <item x="1"/>
        <item x="0"/>
        <item t="default"/>
      </items>
    </pivotField>
    <pivotField showAll="0"/>
    <pivotField numFmtId="168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olicy_Type" fld="2" subtotal="count" baseField="0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1:B6" firstHeaderRow="1" firstDataRow="1" firstDataCol="1"/>
  <pivotFields count="13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numFmtId="168" showAll="0"/>
    <pivotField dataField="1" numFmtId="168" showAll="0"/>
    <pivotField showAll="0"/>
    <pivotField numFmtId="14" showAll="0"/>
    <pivotField numFmtId="14" showAll="0"/>
    <pivotField numFmtId="14" showAll="0"/>
    <pivotField showAll="0"/>
    <pivotField showAll="0"/>
    <pivotField numFmtId="168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pproved_Amount" fld="5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"/>
  <sheetViews>
    <sheetView workbookViewId="0">
      <selection activeCell="E1" sqref="E1"/>
    </sheetView>
  </sheetViews>
  <sheetFormatPr defaultRowHeight="14.5" x14ac:dyDescent="0.35"/>
  <cols>
    <col min="1" max="1" width="13.08984375" customWidth="1"/>
    <col min="2" max="2" width="14.1796875" customWidth="1"/>
    <col min="3" max="3" width="13.08984375" customWidth="1"/>
    <col min="4" max="4" width="10.1796875" customWidth="1"/>
    <col min="5" max="5" width="13.7265625" customWidth="1"/>
    <col min="6" max="6" width="18.08984375" customWidth="1"/>
    <col min="7" max="7" width="12.6328125" customWidth="1"/>
    <col min="8" max="8" width="11.7265625" style="3" customWidth="1"/>
    <col min="9" max="10" width="16.36328125" style="3" customWidth="1"/>
    <col min="13" max="13" width="17.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513</v>
      </c>
      <c r="C2" t="s">
        <v>1013</v>
      </c>
      <c r="D2" t="s">
        <v>1017</v>
      </c>
      <c r="E2">
        <v>37854</v>
      </c>
      <c r="F2">
        <v>35877.021703930273</v>
      </c>
      <c r="G2" t="s">
        <v>1022</v>
      </c>
      <c r="H2" s="3">
        <v>45496</v>
      </c>
      <c r="I2" s="3">
        <v>45052</v>
      </c>
      <c r="J2" s="3">
        <v>45651</v>
      </c>
      <c r="K2" t="s">
        <v>1025</v>
      </c>
      <c r="L2">
        <v>38</v>
      </c>
      <c r="M2">
        <v>12827</v>
      </c>
    </row>
    <row r="3" spans="1:13" x14ac:dyDescent="0.35">
      <c r="A3" t="s">
        <v>14</v>
      </c>
      <c r="B3" t="s">
        <v>514</v>
      </c>
      <c r="C3" t="s">
        <v>1014</v>
      </c>
      <c r="D3" t="s">
        <v>1017</v>
      </c>
      <c r="E3">
        <v>48271</v>
      </c>
      <c r="F3">
        <v>36123.724027556767</v>
      </c>
      <c r="G3" t="s">
        <v>1023</v>
      </c>
      <c r="H3" s="3">
        <v>45586</v>
      </c>
      <c r="I3" s="3">
        <v>45108</v>
      </c>
      <c r="J3" s="3">
        <v>45311</v>
      </c>
      <c r="K3" t="s">
        <v>1026</v>
      </c>
      <c r="L3">
        <v>57</v>
      </c>
      <c r="M3">
        <v>12521</v>
      </c>
    </row>
    <row r="4" spans="1:13" x14ac:dyDescent="0.35">
      <c r="A4" t="s">
        <v>15</v>
      </c>
      <c r="B4" t="s">
        <v>515</v>
      </c>
      <c r="C4" t="s">
        <v>1015</v>
      </c>
      <c r="D4" t="s">
        <v>1018</v>
      </c>
      <c r="E4">
        <v>75688</v>
      </c>
      <c r="F4">
        <v>29528.10433953617</v>
      </c>
      <c r="G4" t="s">
        <v>1023</v>
      </c>
      <c r="H4" s="3">
        <v>45427</v>
      </c>
      <c r="I4" s="3">
        <v>44955</v>
      </c>
      <c r="J4" s="3">
        <v>45488</v>
      </c>
      <c r="K4" t="s">
        <v>1025</v>
      </c>
      <c r="L4">
        <v>35</v>
      </c>
      <c r="M4">
        <v>14146</v>
      </c>
    </row>
    <row r="5" spans="1:13" x14ac:dyDescent="0.35">
      <c r="A5" t="s">
        <v>16</v>
      </c>
      <c r="B5" t="s">
        <v>516</v>
      </c>
      <c r="C5" t="s">
        <v>1013</v>
      </c>
      <c r="D5" t="s">
        <v>1019</v>
      </c>
      <c r="E5">
        <v>40518</v>
      </c>
      <c r="F5">
        <v>3489.0602496926122</v>
      </c>
      <c r="G5" t="s">
        <v>1023</v>
      </c>
      <c r="H5" s="3">
        <v>45511</v>
      </c>
      <c r="I5" s="3">
        <v>45252</v>
      </c>
      <c r="J5" s="3">
        <v>45390</v>
      </c>
      <c r="K5" t="s">
        <v>1025</v>
      </c>
      <c r="L5">
        <v>21</v>
      </c>
      <c r="M5">
        <v>12642</v>
      </c>
    </row>
    <row r="6" spans="1:13" x14ac:dyDescent="0.35">
      <c r="A6" t="s">
        <v>17</v>
      </c>
      <c r="B6" t="s">
        <v>517</v>
      </c>
      <c r="C6" t="s">
        <v>1013</v>
      </c>
      <c r="D6" t="s">
        <v>1020</v>
      </c>
      <c r="E6">
        <v>12267</v>
      </c>
      <c r="F6">
        <v>13445.754566960541</v>
      </c>
      <c r="G6" t="s">
        <v>1023</v>
      </c>
      <c r="H6" s="3">
        <v>45544</v>
      </c>
      <c r="I6" s="3">
        <v>45013</v>
      </c>
      <c r="J6" s="3">
        <v>45388</v>
      </c>
      <c r="K6" t="s">
        <v>1025</v>
      </c>
      <c r="L6">
        <v>59</v>
      </c>
      <c r="M6">
        <v>3132</v>
      </c>
    </row>
    <row r="7" spans="1:13" x14ac:dyDescent="0.35">
      <c r="A7" t="s">
        <v>18</v>
      </c>
      <c r="B7" t="s">
        <v>518</v>
      </c>
      <c r="C7" t="s">
        <v>1014</v>
      </c>
      <c r="D7" t="s">
        <v>1018</v>
      </c>
      <c r="E7">
        <v>92825</v>
      </c>
      <c r="F7">
        <v>0</v>
      </c>
      <c r="G7" t="s">
        <v>1023</v>
      </c>
      <c r="H7" s="3">
        <v>45482</v>
      </c>
      <c r="I7" s="3">
        <v>44995</v>
      </c>
      <c r="J7" s="3">
        <v>45451</v>
      </c>
      <c r="K7" t="s">
        <v>1025</v>
      </c>
      <c r="L7">
        <v>36</v>
      </c>
      <c r="M7">
        <v>2699</v>
      </c>
    </row>
    <row r="8" spans="1:13" x14ac:dyDescent="0.35">
      <c r="A8" t="s">
        <v>19</v>
      </c>
      <c r="B8" t="s">
        <v>519</v>
      </c>
      <c r="C8" t="s">
        <v>1015</v>
      </c>
      <c r="D8" t="s">
        <v>1020</v>
      </c>
      <c r="E8">
        <v>3062</v>
      </c>
      <c r="F8">
        <v>28811.975269512888</v>
      </c>
      <c r="G8" t="s">
        <v>1022</v>
      </c>
      <c r="H8" s="3">
        <v>45506</v>
      </c>
      <c r="I8" s="3">
        <v>45258</v>
      </c>
      <c r="J8" s="3">
        <v>45345</v>
      </c>
      <c r="K8" t="s">
        <v>1026</v>
      </c>
      <c r="L8">
        <v>53</v>
      </c>
      <c r="M8">
        <v>9470</v>
      </c>
    </row>
    <row r="9" spans="1:13" x14ac:dyDescent="0.35">
      <c r="A9" t="s">
        <v>20</v>
      </c>
      <c r="B9" t="s">
        <v>520</v>
      </c>
      <c r="C9" t="s">
        <v>1015</v>
      </c>
      <c r="D9" t="s">
        <v>1020</v>
      </c>
      <c r="E9">
        <v>52448</v>
      </c>
      <c r="F9">
        <v>50886.149575036106</v>
      </c>
      <c r="G9" t="s">
        <v>1023</v>
      </c>
      <c r="H9" s="3">
        <v>45445</v>
      </c>
      <c r="I9" s="3">
        <v>45278</v>
      </c>
      <c r="J9" s="3">
        <v>45445</v>
      </c>
      <c r="K9" t="s">
        <v>1025</v>
      </c>
      <c r="L9">
        <v>61</v>
      </c>
      <c r="M9">
        <v>12230</v>
      </c>
    </row>
    <row r="10" spans="1:13" x14ac:dyDescent="0.35">
      <c r="A10" t="s">
        <v>21</v>
      </c>
      <c r="B10" t="s">
        <v>521</v>
      </c>
      <c r="C10" t="s">
        <v>1013</v>
      </c>
      <c r="D10" t="s">
        <v>1019</v>
      </c>
      <c r="E10">
        <v>97462</v>
      </c>
      <c r="F10">
        <v>27965.397837492899</v>
      </c>
      <c r="G10" t="s">
        <v>1023</v>
      </c>
      <c r="H10" s="3">
        <v>45424</v>
      </c>
      <c r="I10" s="3">
        <v>45213</v>
      </c>
      <c r="J10" s="3">
        <v>45379</v>
      </c>
      <c r="K10" t="s">
        <v>1025</v>
      </c>
      <c r="L10">
        <v>35</v>
      </c>
      <c r="M10">
        <v>8297</v>
      </c>
    </row>
    <row r="11" spans="1:13" x14ac:dyDescent="0.35">
      <c r="A11" t="s">
        <v>22</v>
      </c>
      <c r="B11" t="s">
        <v>522</v>
      </c>
      <c r="C11" t="s">
        <v>1016</v>
      </c>
      <c r="D11" t="s">
        <v>1020</v>
      </c>
      <c r="E11">
        <v>8229</v>
      </c>
      <c r="F11">
        <v>1094.907939561258</v>
      </c>
      <c r="G11" t="s">
        <v>1023</v>
      </c>
      <c r="H11" s="3">
        <v>45483</v>
      </c>
      <c r="I11" s="3">
        <v>45290</v>
      </c>
      <c r="J11" s="3">
        <v>45482</v>
      </c>
      <c r="K11" t="s">
        <v>1025</v>
      </c>
      <c r="L11">
        <v>57</v>
      </c>
      <c r="M11">
        <v>14839</v>
      </c>
    </row>
    <row r="12" spans="1:13" x14ac:dyDescent="0.35">
      <c r="A12" t="s">
        <v>23</v>
      </c>
      <c r="B12" t="s">
        <v>523</v>
      </c>
      <c r="C12" t="s">
        <v>1013</v>
      </c>
      <c r="D12" t="s">
        <v>1020</v>
      </c>
      <c r="E12">
        <v>58793</v>
      </c>
      <c r="F12">
        <v>67553.770842831698</v>
      </c>
      <c r="G12" t="s">
        <v>1024</v>
      </c>
      <c r="H12" s="3">
        <v>45496</v>
      </c>
      <c r="I12" s="3">
        <v>45078</v>
      </c>
      <c r="J12" s="3">
        <v>45404</v>
      </c>
      <c r="K12" t="s">
        <v>1025</v>
      </c>
      <c r="L12">
        <v>21</v>
      </c>
      <c r="M12">
        <v>9812</v>
      </c>
    </row>
    <row r="13" spans="1:13" x14ac:dyDescent="0.35">
      <c r="A13" t="s">
        <v>24</v>
      </c>
      <c r="B13" t="s">
        <v>524</v>
      </c>
      <c r="C13" t="s">
        <v>1013</v>
      </c>
      <c r="D13" t="s">
        <v>1019</v>
      </c>
      <c r="E13">
        <v>49915</v>
      </c>
      <c r="F13">
        <v>78639.144436682778</v>
      </c>
      <c r="G13" t="s">
        <v>1023</v>
      </c>
      <c r="H13" s="3">
        <v>45326</v>
      </c>
      <c r="I13" s="3">
        <v>45057</v>
      </c>
      <c r="J13" s="3">
        <v>45331</v>
      </c>
      <c r="K13" t="s">
        <v>1025</v>
      </c>
      <c r="L13">
        <v>21</v>
      </c>
      <c r="M13">
        <v>14692</v>
      </c>
    </row>
    <row r="14" spans="1:13" x14ac:dyDescent="0.35">
      <c r="A14" t="s">
        <v>25</v>
      </c>
      <c r="B14" t="s">
        <v>525</v>
      </c>
      <c r="C14" t="s">
        <v>1013</v>
      </c>
      <c r="D14" t="s">
        <v>1020</v>
      </c>
      <c r="E14">
        <v>6632</v>
      </c>
      <c r="F14">
        <v>57174.482835898227</v>
      </c>
      <c r="G14" t="s">
        <v>1022</v>
      </c>
      <c r="H14" s="3">
        <v>45583</v>
      </c>
      <c r="I14" s="3">
        <v>45274</v>
      </c>
      <c r="J14" s="3">
        <v>45329</v>
      </c>
      <c r="K14" t="s">
        <v>1025</v>
      </c>
      <c r="L14">
        <v>45</v>
      </c>
      <c r="M14">
        <v>6557</v>
      </c>
    </row>
    <row r="15" spans="1:13" x14ac:dyDescent="0.35">
      <c r="A15" t="s">
        <v>26</v>
      </c>
      <c r="B15" t="s">
        <v>526</v>
      </c>
      <c r="C15" t="s">
        <v>1013</v>
      </c>
      <c r="D15" t="s">
        <v>1020</v>
      </c>
      <c r="E15">
        <v>5596</v>
      </c>
      <c r="F15">
        <v>0</v>
      </c>
      <c r="G15" t="s">
        <v>1023</v>
      </c>
      <c r="H15" s="3">
        <v>45527</v>
      </c>
      <c r="I15" s="3">
        <v>45018</v>
      </c>
      <c r="J15" s="3">
        <v>45355</v>
      </c>
      <c r="K15" t="s">
        <v>1025</v>
      </c>
      <c r="L15">
        <v>32</v>
      </c>
      <c r="M15">
        <v>4179</v>
      </c>
    </row>
    <row r="16" spans="1:13" x14ac:dyDescent="0.35">
      <c r="A16" t="s">
        <v>27</v>
      </c>
      <c r="B16" t="s">
        <v>527</v>
      </c>
      <c r="C16" t="s">
        <v>1014</v>
      </c>
      <c r="D16" t="s">
        <v>1020</v>
      </c>
      <c r="E16">
        <v>8168</v>
      </c>
      <c r="F16">
        <v>0</v>
      </c>
      <c r="G16" t="s">
        <v>1023</v>
      </c>
      <c r="H16" s="3">
        <v>45515</v>
      </c>
      <c r="I16" s="3">
        <v>45273</v>
      </c>
      <c r="J16" s="3">
        <v>45525</v>
      </c>
      <c r="K16" t="s">
        <v>1025</v>
      </c>
      <c r="L16">
        <v>66</v>
      </c>
      <c r="M16">
        <v>13030</v>
      </c>
    </row>
    <row r="17" spans="1:13" x14ac:dyDescent="0.35">
      <c r="A17" t="s">
        <v>28</v>
      </c>
      <c r="B17" t="s">
        <v>528</v>
      </c>
      <c r="C17" t="s">
        <v>1015</v>
      </c>
      <c r="D17" t="s">
        <v>1018</v>
      </c>
      <c r="E17">
        <v>9561</v>
      </c>
      <c r="F17">
        <v>26886.02686213925</v>
      </c>
      <c r="G17" t="s">
        <v>1023</v>
      </c>
      <c r="H17" s="3">
        <v>45446</v>
      </c>
      <c r="I17" s="3">
        <v>45094</v>
      </c>
      <c r="J17" s="3">
        <v>45481</v>
      </c>
      <c r="K17" t="s">
        <v>1026</v>
      </c>
      <c r="L17">
        <v>50</v>
      </c>
      <c r="M17">
        <v>11065</v>
      </c>
    </row>
    <row r="18" spans="1:13" x14ac:dyDescent="0.35">
      <c r="A18" t="s">
        <v>29</v>
      </c>
      <c r="B18" t="s">
        <v>529</v>
      </c>
      <c r="C18" t="s">
        <v>1014</v>
      </c>
      <c r="D18" t="s">
        <v>1018</v>
      </c>
      <c r="E18">
        <v>75794</v>
      </c>
      <c r="F18">
        <v>29960.40890167265</v>
      </c>
      <c r="G18" t="s">
        <v>1023</v>
      </c>
      <c r="H18" s="3">
        <v>45549</v>
      </c>
      <c r="I18" s="3">
        <v>45100</v>
      </c>
      <c r="J18" s="3">
        <v>45439</v>
      </c>
      <c r="K18" t="s">
        <v>1025</v>
      </c>
      <c r="L18">
        <v>53</v>
      </c>
      <c r="M18">
        <v>10275</v>
      </c>
    </row>
    <row r="19" spans="1:13" x14ac:dyDescent="0.35">
      <c r="A19" t="s">
        <v>30</v>
      </c>
      <c r="B19" t="s">
        <v>530</v>
      </c>
      <c r="C19" t="s">
        <v>1014</v>
      </c>
      <c r="D19" t="s">
        <v>1018</v>
      </c>
      <c r="E19">
        <v>84152</v>
      </c>
      <c r="F19">
        <v>32029.450372575731</v>
      </c>
      <c r="G19" t="s">
        <v>1023</v>
      </c>
      <c r="H19" s="3">
        <v>45431</v>
      </c>
      <c r="I19" s="3">
        <v>44977</v>
      </c>
      <c r="J19" s="3">
        <v>45628</v>
      </c>
      <c r="K19" t="s">
        <v>1026</v>
      </c>
      <c r="L19">
        <v>58</v>
      </c>
      <c r="M19">
        <v>3422</v>
      </c>
    </row>
    <row r="20" spans="1:13" x14ac:dyDescent="0.35">
      <c r="A20" t="s">
        <v>31</v>
      </c>
      <c r="B20" t="s">
        <v>531</v>
      </c>
      <c r="C20" t="s">
        <v>1014</v>
      </c>
      <c r="D20" t="s">
        <v>1019</v>
      </c>
      <c r="E20">
        <v>28734</v>
      </c>
      <c r="F20">
        <v>51919.326073931283</v>
      </c>
      <c r="G20" t="s">
        <v>1022</v>
      </c>
      <c r="H20" s="3">
        <v>45562</v>
      </c>
      <c r="I20" s="3">
        <v>45085</v>
      </c>
      <c r="J20" s="3">
        <v>45443</v>
      </c>
      <c r="K20" t="s">
        <v>1025</v>
      </c>
      <c r="L20">
        <v>22</v>
      </c>
      <c r="M20">
        <v>12867</v>
      </c>
    </row>
    <row r="21" spans="1:13" x14ac:dyDescent="0.35">
      <c r="A21" t="s">
        <v>32</v>
      </c>
      <c r="B21" t="s">
        <v>532</v>
      </c>
      <c r="C21" t="s">
        <v>1013</v>
      </c>
      <c r="D21" t="s">
        <v>1017</v>
      </c>
      <c r="E21">
        <v>8371</v>
      </c>
      <c r="F21">
        <v>62562.256209692823</v>
      </c>
      <c r="G21" t="s">
        <v>1023</v>
      </c>
      <c r="H21" s="3">
        <v>45351</v>
      </c>
      <c r="I21" s="3">
        <v>45080</v>
      </c>
      <c r="J21" s="3">
        <v>45577</v>
      </c>
      <c r="K21" t="s">
        <v>1025</v>
      </c>
      <c r="L21">
        <v>27</v>
      </c>
      <c r="M21">
        <v>5180</v>
      </c>
    </row>
    <row r="22" spans="1:13" x14ac:dyDescent="0.35">
      <c r="A22" t="s">
        <v>33</v>
      </c>
      <c r="B22" t="s">
        <v>533</v>
      </c>
      <c r="C22" t="s">
        <v>1016</v>
      </c>
      <c r="D22" t="s">
        <v>1020</v>
      </c>
      <c r="E22">
        <v>28069</v>
      </c>
      <c r="F22">
        <v>86236.863477042425</v>
      </c>
      <c r="G22" t="s">
        <v>1023</v>
      </c>
      <c r="H22" s="3">
        <v>45303</v>
      </c>
      <c r="I22" s="3">
        <v>45042</v>
      </c>
      <c r="J22" s="3">
        <v>45317</v>
      </c>
      <c r="K22" t="s">
        <v>1025</v>
      </c>
      <c r="L22">
        <v>42</v>
      </c>
      <c r="M22">
        <v>6316</v>
      </c>
    </row>
    <row r="23" spans="1:13" x14ac:dyDescent="0.35">
      <c r="A23" t="s">
        <v>34</v>
      </c>
      <c r="B23" t="s">
        <v>534</v>
      </c>
      <c r="C23" t="s">
        <v>1015</v>
      </c>
      <c r="D23" t="s">
        <v>1020</v>
      </c>
      <c r="E23">
        <v>81905</v>
      </c>
      <c r="F23">
        <v>13424.89224514462</v>
      </c>
      <c r="G23" t="s">
        <v>1023</v>
      </c>
      <c r="H23" s="3">
        <v>45554</v>
      </c>
      <c r="I23" s="3">
        <v>45061</v>
      </c>
      <c r="J23" s="3">
        <v>45638</v>
      </c>
      <c r="K23" t="s">
        <v>1025</v>
      </c>
      <c r="L23">
        <v>33</v>
      </c>
      <c r="M23">
        <v>14167</v>
      </c>
    </row>
    <row r="24" spans="1:13" x14ac:dyDescent="0.35">
      <c r="A24" t="s">
        <v>35</v>
      </c>
      <c r="B24" t="s">
        <v>535</v>
      </c>
      <c r="C24" t="s">
        <v>1016</v>
      </c>
      <c r="D24" t="s">
        <v>1019</v>
      </c>
      <c r="E24">
        <v>14910</v>
      </c>
      <c r="F24">
        <v>71247.993144491367</v>
      </c>
      <c r="G24" t="s">
        <v>1024</v>
      </c>
      <c r="H24" s="3">
        <v>45467</v>
      </c>
      <c r="I24" s="3">
        <v>44940</v>
      </c>
      <c r="J24" s="3">
        <v>45393</v>
      </c>
      <c r="K24" t="s">
        <v>1026</v>
      </c>
      <c r="L24">
        <v>46</v>
      </c>
      <c r="M24">
        <v>8696</v>
      </c>
    </row>
    <row r="25" spans="1:13" x14ac:dyDescent="0.35">
      <c r="A25" t="s">
        <v>36</v>
      </c>
      <c r="B25" t="s">
        <v>536</v>
      </c>
      <c r="C25" t="s">
        <v>1014</v>
      </c>
      <c r="D25" t="s">
        <v>1020</v>
      </c>
      <c r="E25">
        <v>75479</v>
      </c>
      <c r="F25">
        <v>19859.093891249959</v>
      </c>
      <c r="G25" t="s">
        <v>1022</v>
      </c>
      <c r="H25" s="3">
        <v>45521</v>
      </c>
      <c r="I25" s="3">
        <v>45161</v>
      </c>
      <c r="J25" s="3">
        <v>45446</v>
      </c>
      <c r="K25" t="s">
        <v>1025</v>
      </c>
      <c r="L25">
        <v>48</v>
      </c>
      <c r="M25">
        <v>11583</v>
      </c>
    </row>
    <row r="26" spans="1:13" x14ac:dyDescent="0.35">
      <c r="A26" t="s">
        <v>37</v>
      </c>
      <c r="B26" t="s">
        <v>537</v>
      </c>
      <c r="C26" t="s">
        <v>1014</v>
      </c>
      <c r="D26" t="s">
        <v>1018</v>
      </c>
      <c r="E26">
        <v>79735</v>
      </c>
      <c r="F26">
        <v>36379.148689301328</v>
      </c>
      <c r="G26" t="s">
        <v>1023</v>
      </c>
      <c r="H26" s="3">
        <v>45454</v>
      </c>
      <c r="I26" s="3">
        <v>45113</v>
      </c>
      <c r="J26" s="3">
        <v>45509</v>
      </c>
      <c r="K26" t="s">
        <v>1025</v>
      </c>
      <c r="L26">
        <v>58</v>
      </c>
      <c r="M26">
        <v>13410</v>
      </c>
    </row>
    <row r="27" spans="1:13" x14ac:dyDescent="0.35">
      <c r="A27" t="s">
        <v>38</v>
      </c>
      <c r="B27" t="s">
        <v>538</v>
      </c>
      <c r="C27" t="s">
        <v>1016</v>
      </c>
      <c r="D27" t="s">
        <v>1017</v>
      </c>
      <c r="E27">
        <v>83264</v>
      </c>
      <c r="F27">
        <v>69615.931536335585</v>
      </c>
      <c r="G27" t="s">
        <v>1024</v>
      </c>
      <c r="H27" s="3">
        <v>45511</v>
      </c>
      <c r="I27" s="3">
        <v>45125</v>
      </c>
      <c r="J27" s="3">
        <v>45654</v>
      </c>
      <c r="K27" t="s">
        <v>1026</v>
      </c>
      <c r="L27">
        <v>58</v>
      </c>
      <c r="M27">
        <v>14399</v>
      </c>
    </row>
    <row r="28" spans="1:13" x14ac:dyDescent="0.35">
      <c r="A28" t="s">
        <v>39</v>
      </c>
      <c r="B28" t="s">
        <v>539</v>
      </c>
      <c r="C28" t="s">
        <v>1016</v>
      </c>
      <c r="D28" t="s">
        <v>1021</v>
      </c>
      <c r="E28">
        <v>25275</v>
      </c>
      <c r="F28">
        <v>44872.619602473773</v>
      </c>
      <c r="G28" t="s">
        <v>1023</v>
      </c>
      <c r="H28" s="3">
        <v>45463</v>
      </c>
      <c r="I28" s="3">
        <v>45094</v>
      </c>
      <c r="J28" s="3">
        <v>45331</v>
      </c>
      <c r="K28" t="s">
        <v>1026</v>
      </c>
      <c r="L28">
        <v>20</v>
      </c>
      <c r="M28">
        <v>2614</v>
      </c>
    </row>
    <row r="29" spans="1:13" x14ac:dyDescent="0.35">
      <c r="A29" t="s">
        <v>40</v>
      </c>
      <c r="B29" t="s">
        <v>540</v>
      </c>
      <c r="C29" t="s">
        <v>1016</v>
      </c>
      <c r="D29" t="s">
        <v>1020</v>
      </c>
      <c r="E29">
        <v>74274</v>
      </c>
      <c r="F29">
        <v>8138.5663967931787</v>
      </c>
      <c r="G29" t="s">
        <v>1023</v>
      </c>
      <c r="H29" s="3">
        <v>45444</v>
      </c>
      <c r="I29" s="3">
        <v>45053</v>
      </c>
      <c r="J29" s="3">
        <v>45653</v>
      </c>
      <c r="K29" t="s">
        <v>1025</v>
      </c>
      <c r="L29">
        <v>36</v>
      </c>
      <c r="M29">
        <v>13163</v>
      </c>
    </row>
    <row r="30" spans="1:13" x14ac:dyDescent="0.35">
      <c r="A30" t="s">
        <v>41</v>
      </c>
      <c r="B30" t="s">
        <v>541</v>
      </c>
      <c r="C30" t="s">
        <v>1014</v>
      </c>
      <c r="D30" t="s">
        <v>1018</v>
      </c>
      <c r="E30">
        <v>83449</v>
      </c>
      <c r="F30">
        <v>21677.78252393557</v>
      </c>
      <c r="G30" t="s">
        <v>1022</v>
      </c>
      <c r="H30" s="3">
        <v>45343</v>
      </c>
      <c r="I30" s="3">
        <v>45166</v>
      </c>
      <c r="J30" s="3">
        <v>45654</v>
      </c>
      <c r="K30" t="s">
        <v>1026</v>
      </c>
      <c r="L30">
        <v>60</v>
      </c>
      <c r="M30">
        <v>13757</v>
      </c>
    </row>
    <row r="31" spans="1:13" x14ac:dyDescent="0.35">
      <c r="A31" t="s">
        <v>42</v>
      </c>
      <c r="B31" t="s">
        <v>542</v>
      </c>
      <c r="C31" t="s">
        <v>1014</v>
      </c>
      <c r="D31" t="s">
        <v>1021</v>
      </c>
      <c r="E31">
        <v>62004</v>
      </c>
      <c r="F31">
        <v>12080.48150340463</v>
      </c>
      <c r="G31" t="s">
        <v>1022</v>
      </c>
      <c r="H31" s="3">
        <v>45372</v>
      </c>
      <c r="I31" s="3">
        <v>45281</v>
      </c>
      <c r="J31" s="3">
        <v>45633</v>
      </c>
      <c r="K31" t="s">
        <v>1026</v>
      </c>
      <c r="L31">
        <v>49</v>
      </c>
      <c r="M31">
        <v>13768</v>
      </c>
    </row>
    <row r="32" spans="1:13" x14ac:dyDescent="0.35">
      <c r="A32" t="s">
        <v>43</v>
      </c>
      <c r="B32" t="s">
        <v>543</v>
      </c>
      <c r="C32" t="s">
        <v>1015</v>
      </c>
      <c r="D32" t="s">
        <v>1017</v>
      </c>
      <c r="E32">
        <v>64981</v>
      </c>
      <c r="F32">
        <v>43107.760103193606</v>
      </c>
      <c r="G32" t="s">
        <v>1023</v>
      </c>
      <c r="H32" s="3">
        <v>45463</v>
      </c>
      <c r="I32" s="3">
        <v>45091</v>
      </c>
      <c r="J32" s="3">
        <v>45591</v>
      </c>
      <c r="K32" t="s">
        <v>1026</v>
      </c>
      <c r="L32">
        <v>32</v>
      </c>
      <c r="M32">
        <v>6570</v>
      </c>
    </row>
    <row r="33" spans="1:13" x14ac:dyDescent="0.35">
      <c r="A33" t="s">
        <v>44</v>
      </c>
      <c r="B33" t="s">
        <v>544</v>
      </c>
      <c r="C33" t="s">
        <v>1015</v>
      </c>
      <c r="D33" t="s">
        <v>1021</v>
      </c>
      <c r="E33">
        <v>86659</v>
      </c>
      <c r="F33">
        <v>20398.60956370816</v>
      </c>
      <c r="G33" t="s">
        <v>1023</v>
      </c>
      <c r="H33" s="3">
        <v>45420</v>
      </c>
      <c r="I33" s="3">
        <v>45113</v>
      </c>
      <c r="J33" s="3">
        <v>45635</v>
      </c>
      <c r="K33" t="s">
        <v>1025</v>
      </c>
      <c r="L33">
        <v>40</v>
      </c>
      <c r="M33">
        <v>2270</v>
      </c>
    </row>
    <row r="34" spans="1:13" x14ac:dyDescent="0.35">
      <c r="A34" t="s">
        <v>45</v>
      </c>
      <c r="B34" t="s">
        <v>545</v>
      </c>
      <c r="C34" t="s">
        <v>1014</v>
      </c>
      <c r="D34" t="s">
        <v>1018</v>
      </c>
      <c r="E34">
        <v>56553</v>
      </c>
      <c r="F34">
        <v>62925.559783550947</v>
      </c>
      <c r="G34" t="s">
        <v>1023</v>
      </c>
      <c r="H34" s="3">
        <v>45454</v>
      </c>
      <c r="I34" s="3">
        <v>45185</v>
      </c>
      <c r="J34" s="3">
        <v>45541</v>
      </c>
      <c r="K34" t="s">
        <v>1025</v>
      </c>
      <c r="L34">
        <v>38</v>
      </c>
      <c r="M34">
        <v>14258</v>
      </c>
    </row>
    <row r="35" spans="1:13" x14ac:dyDescent="0.35">
      <c r="A35" t="s">
        <v>46</v>
      </c>
      <c r="B35" t="s">
        <v>546</v>
      </c>
      <c r="C35" t="s">
        <v>1016</v>
      </c>
      <c r="D35" t="s">
        <v>1021</v>
      </c>
      <c r="E35">
        <v>50447</v>
      </c>
      <c r="F35">
        <v>0</v>
      </c>
      <c r="G35" t="s">
        <v>1024</v>
      </c>
      <c r="H35" s="3">
        <v>45535</v>
      </c>
      <c r="I35" s="3">
        <v>44994</v>
      </c>
      <c r="J35" s="3">
        <v>45612</v>
      </c>
      <c r="K35" t="s">
        <v>1025</v>
      </c>
      <c r="L35">
        <v>38</v>
      </c>
      <c r="M35">
        <v>4468</v>
      </c>
    </row>
    <row r="36" spans="1:13" x14ac:dyDescent="0.35">
      <c r="A36" t="s">
        <v>47</v>
      </c>
      <c r="B36" t="s">
        <v>547</v>
      </c>
      <c r="C36" t="s">
        <v>1016</v>
      </c>
      <c r="D36" t="s">
        <v>1019</v>
      </c>
      <c r="E36">
        <v>36529</v>
      </c>
      <c r="F36">
        <v>0</v>
      </c>
      <c r="G36" t="s">
        <v>1023</v>
      </c>
      <c r="H36" s="3">
        <v>45536</v>
      </c>
      <c r="I36" s="3">
        <v>45278</v>
      </c>
      <c r="J36" s="3">
        <v>45309</v>
      </c>
      <c r="K36" t="s">
        <v>1026</v>
      </c>
      <c r="L36">
        <v>44</v>
      </c>
      <c r="M36">
        <v>11582</v>
      </c>
    </row>
    <row r="37" spans="1:13" x14ac:dyDescent="0.35">
      <c r="A37" t="s">
        <v>48</v>
      </c>
      <c r="B37" t="s">
        <v>548</v>
      </c>
      <c r="C37" t="s">
        <v>1015</v>
      </c>
      <c r="D37" t="s">
        <v>1021</v>
      </c>
      <c r="E37">
        <v>77703</v>
      </c>
      <c r="F37">
        <v>2753.8925944103589</v>
      </c>
      <c r="G37" t="s">
        <v>1023</v>
      </c>
      <c r="H37" s="3">
        <v>45445</v>
      </c>
      <c r="I37" s="3">
        <v>44953</v>
      </c>
      <c r="J37" s="3">
        <v>45644</v>
      </c>
      <c r="K37" t="s">
        <v>1025</v>
      </c>
      <c r="L37">
        <v>41</v>
      </c>
      <c r="M37">
        <v>13546</v>
      </c>
    </row>
    <row r="38" spans="1:13" x14ac:dyDescent="0.35">
      <c r="A38" t="s">
        <v>49</v>
      </c>
      <c r="B38" t="s">
        <v>549</v>
      </c>
      <c r="C38" t="s">
        <v>1014</v>
      </c>
      <c r="D38" t="s">
        <v>1020</v>
      </c>
      <c r="E38">
        <v>78090</v>
      </c>
      <c r="F38">
        <v>25765.577747857711</v>
      </c>
      <c r="G38" t="s">
        <v>1023</v>
      </c>
      <c r="H38" s="3">
        <v>45550</v>
      </c>
      <c r="I38" s="3">
        <v>45039</v>
      </c>
      <c r="J38" s="3">
        <v>45631</v>
      </c>
      <c r="K38" t="s">
        <v>1026</v>
      </c>
      <c r="L38">
        <v>50</v>
      </c>
      <c r="M38">
        <v>14327</v>
      </c>
    </row>
    <row r="39" spans="1:13" x14ac:dyDescent="0.35">
      <c r="A39" t="s">
        <v>50</v>
      </c>
      <c r="B39" t="s">
        <v>550</v>
      </c>
      <c r="C39" t="s">
        <v>1015</v>
      </c>
      <c r="D39" t="s">
        <v>1020</v>
      </c>
      <c r="E39">
        <v>19260</v>
      </c>
      <c r="F39">
        <v>61448.764448825234</v>
      </c>
      <c r="G39" t="s">
        <v>1023</v>
      </c>
      <c r="H39" s="3">
        <v>45586</v>
      </c>
      <c r="I39" s="3">
        <v>45260</v>
      </c>
      <c r="J39" s="3">
        <v>45543</v>
      </c>
      <c r="K39" t="s">
        <v>1025</v>
      </c>
      <c r="L39">
        <v>36</v>
      </c>
      <c r="M39">
        <v>5607</v>
      </c>
    </row>
    <row r="40" spans="1:13" x14ac:dyDescent="0.35">
      <c r="A40" t="s">
        <v>51</v>
      </c>
      <c r="B40" t="s">
        <v>551</v>
      </c>
      <c r="C40" t="s">
        <v>1015</v>
      </c>
      <c r="D40" t="s">
        <v>1019</v>
      </c>
      <c r="E40">
        <v>5812</v>
      </c>
      <c r="F40">
        <v>1350.7076881593091</v>
      </c>
      <c r="G40" t="s">
        <v>1023</v>
      </c>
      <c r="H40" s="3">
        <v>45542</v>
      </c>
      <c r="I40" s="3">
        <v>44957</v>
      </c>
      <c r="J40" s="3">
        <v>45533</v>
      </c>
      <c r="K40" t="s">
        <v>1025</v>
      </c>
      <c r="L40">
        <v>42</v>
      </c>
      <c r="M40">
        <v>12775</v>
      </c>
    </row>
    <row r="41" spans="1:13" x14ac:dyDescent="0.35">
      <c r="A41" t="s">
        <v>52</v>
      </c>
      <c r="B41" t="s">
        <v>552</v>
      </c>
      <c r="C41" t="s">
        <v>1013</v>
      </c>
      <c r="D41" t="s">
        <v>1018</v>
      </c>
      <c r="E41">
        <v>30024</v>
      </c>
      <c r="F41">
        <v>54951.086779542587</v>
      </c>
      <c r="G41" t="s">
        <v>1024</v>
      </c>
      <c r="H41" s="3">
        <v>45553</v>
      </c>
      <c r="I41" s="3">
        <v>45180</v>
      </c>
      <c r="J41" s="3">
        <v>45489</v>
      </c>
      <c r="K41" t="s">
        <v>1026</v>
      </c>
      <c r="L41">
        <v>51</v>
      </c>
      <c r="M41">
        <v>14265</v>
      </c>
    </row>
    <row r="42" spans="1:13" x14ac:dyDescent="0.35">
      <c r="A42" t="s">
        <v>53</v>
      </c>
      <c r="B42" t="s">
        <v>553</v>
      </c>
      <c r="C42" t="s">
        <v>1013</v>
      </c>
      <c r="D42" t="s">
        <v>1020</v>
      </c>
      <c r="E42">
        <v>60656</v>
      </c>
      <c r="F42">
        <v>7724.1856270201579</v>
      </c>
      <c r="G42" t="s">
        <v>1023</v>
      </c>
      <c r="H42" s="3">
        <v>45538</v>
      </c>
      <c r="I42" s="3">
        <v>45272</v>
      </c>
      <c r="J42" s="3">
        <v>45399</v>
      </c>
      <c r="K42" t="s">
        <v>1025</v>
      </c>
      <c r="L42">
        <v>29</v>
      </c>
      <c r="M42">
        <v>5075</v>
      </c>
    </row>
    <row r="43" spans="1:13" x14ac:dyDescent="0.35">
      <c r="A43" t="s">
        <v>54</v>
      </c>
      <c r="B43" t="s">
        <v>554</v>
      </c>
      <c r="C43" t="s">
        <v>1013</v>
      </c>
      <c r="D43" t="s">
        <v>1017</v>
      </c>
      <c r="E43">
        <v>29285</v>
      </c>
      <c r="F43">
        <v>37867.541872948073</v>
      </c>
      <c r="G43" t="s">
        <v>1023</v>
      </c>
      <c r="H43" s="3">
        <v>45505</v>
      </c>
      <c r="I43" s="3">
        <v>45236</v>
      </c>
      <c r="J43" s="3">
        <v>45521</v>
      </c>
      <c r="K43" t="s">
        <v>1026</v>
      </c>
      <c r="L43">
        <v>29</v>
      </c>
      <c r="M43">
        <v>14098</v>
      </c>
    </row>
    <row r="44" spans="1:13" x14ac:dyDescent="0.35">
      <c r="A44" t="s">
        <v>55</v>
      </c>
      <c r="B44" t="s">
        <v>555</v>
      </c>
      <c r="C44" t="s">
        <v>1016</v>
      </c>
      <c r="D44" t="s">
        <v>1020</v>
      </c>
      <c r="E44">
        <v>94436</v>
      </c>
      <c r="F44">
        <v>8782.4501278935477</v>
      </c>
      <c r="G44" t="s">
        <v>1023</v>
      </c>
      <c r="H44" s="3">
        <v>45346</v>
      </c>
      <c r="I44" s="3">
        <v>45276</v>
      </c>
      <c r="J44" s="3">
        <v>45621</v>
      </c>
      <c r="K44" t="s">
        <v>1026</v>
      </c>
      <c r="L44">
        <v>55</v>
      </c>
      <c r="M44">
        <v>2289</v>
      </c>
    </row>
    <row r="45" spans="1:13" x14ac:dyDescent="0.35">
      <c r="A45" t="s">
        <v>56</v>
      </c>
      <c r="B45" t="s">
        <v>556</v>
      </c>
      <c r="C45" t="s">
        <v>1014</v>
      </c>
      <c r="D45" t="s">
        <v>1020</v>
      </c>
      <c r="E45">
        <v>3605</v>
      </c>
      <c r="F45">
        <v>3642.5619857235661</v>
      </c>
      <c r="G45" t="s">
        <v>1022</v>
      </c>
      <c r="H45" s="3">
        <v>45498</v>
      </c>
      <c r="I45" s="3">
        <v>44998</v>
      </c>
      <c r="J45" s="3">
        <v>45578</v>
      </c>
      <c r="K45" t="s">
        <v>1025</v>
      </c>
      <c r="L45">
        <v>27</v>
      </c>
      <c r="M45">
        <v>10120</v>
      </c>
    </row>
    <row r="46" spans="1:13" x14ac:dyDescent="0.35">
      <c r="A46" t="s">
        <v>57</v>
      </c>
      <c r="B46" t="s">
        <v>557</v>
      </c>
      <c r="C46" t="s">
        <v>1014</v>
      </c>
      <c r="D46" t="s">
        <v>1018</v>
      </c>
      <c r="E46">
        <v>73158</v>
      </c>
      <c r="F46">
        <v>0</v>
      </c>
      <c r="G46" t="s">
        <v>1023</v>
      </c>
      <c r="H46" s="3">
        <v>45335</v>
      </c>
      <c r="I46" s="3">
        <v>45225</v>
      </c>
      <c r="J46" s="3">
        <v>45505</v>
      </c>
      <c r="K46" t="s">
        <v>1026</v>
      </c>
      <c r="L46">
        <v>39</v>
      </c>
      <c r="M46">
        <v>12672</v>
      </c>
    </row>
    <row r="47" spans="1:13" x14ac:dyDescent="0.35">
      <c r="A47" t="s">
        <v>58</v>
      </c>
      <c r="B47" t="s">
        <v>558</v>
      </c>
      <c r="C47" t="s">
        <v>1014</v>
      </c>
      <c r="D47" t="s">
        <v>1021</v>
      </c>
      <c r="E47">
        <v>74303</v>
      </c>
      <c r="F47">
        <v>63693.563435641932</v>
      </c>
      <c r="G47" t="s">
        <v>1023</v>
      </c>
      <c r="H47" s="3">
        <v>45545</v>
      </c>
      <c r="I47" s="3">
        <v>45284</v>
      </c>
      <c r="J47" s="3">
        <v>45444</v>
      </c>
      <c r="K47" t="s">
        <v>1025</v>
      </c>
      <c r="L47">
        <v>51</v>
      </c>
      <c r="M47">
        <v>8614</v>
      </c>
    </row>
    <row r="48" spans="1:13" x14ac:dyDescent="0.35">
      <c r="A48" t="s">
        <v>59</v>
      </c>
      <c r="B48" t="s">
        <v>559</v>
      </c>
      <c r="C48" t="s">
        <v>1014</v>
      </c>
      <c r="D48" t="s">
        <v>1020</v>
      </c>
      <c r="E48">
        <v>29139</v>
      </c>
      <c r="F48">
        <v>52394.434834778949</v>
      </c>
      <c r="G48" t="s">
        <v>1022</v>
      </c>
      <c r="H48" s="3">
        <v>45392</v>
      </c>
      <c r="I48" s="3">
        <v>45142</v>
      </c>
      <c r="J48" s="3">
        <v>45570</v>
      </c>
      <c r="K48" t="s">
        <v>1025</v>
      </c>
      <c r="L48">
        <v>69</v>
      </c>
      <c r="M48">
        <v>5252</v>
      </c>
    </row>
    <row r="49" spans="1:13" x14ac:dyDescent="0.35">
      <c r="A49" t="s">
        <v>60</v>
      </c>
      <c r="B49" t="s">
        <v>560</v>
      </c>
      <c r="C49" t="s">
        <v>1013</v>
      </c>
      <c r="D49" t="s">
        <v>1019</v>
      </c>
      <c r="E49">
        <v>79149</v>
      </c>
      <c r="F49">
        <v>72536.031600399365</v>
      </c>
      <c r="G49" t="s">
        <v>1022</v>
      </c>
      <c r="H49" s="3">
        <v>45410</v>
      </c>
      <c r="I49" s="3">
        <v>45192</v>
      </c>
      <c r="J49" s="3">
        <v>45455</v>
      </c>
      <c r="K49" t="s">
        <v>1026</v>
      </c>
      <c r="L49">
        <v>33</v>
      </c>
      <c r="M49">
        <v>9415</v>
      </c>
    </row>
    <row r="50" spans="1:13" x14ac:dyDescent="0.35">
      <c r="A50" t="s">
        <v>61</v>
      </c>
      <c r="B50" t="s">
        <v>561</v>
      </c>
      <c r="C50" t="s">
        <v>1016</v>
      </c>
      <c r="D50" t="s">
        <v>1021</v>
      </c>
      <c r="E50">
        <v>58138</v>
      </c>
      <c r="F50">
        <v>15374.047137104981</v>
      </c>
      <c r="G50" t="s">
        <v>1022</v>
      </c>
      <c r="H50" s="3">
        <v>45502</v>
      </c>
      <c r="I50" s="3">
        <v>45220</v>
      </c>
      <c r="J50" s="3">
        <v>45419</v>
      </c>
      <c r="K50" t="s">
        <v>1025</v>
      </c>
      <c r="L50">
        <v>69</v>
      </c>
      <c r="M50">
        <v>8771</v>
      </c>
    </row>
    <row r="51" spans="1:13" x14ac:dyDescent="0.35">
      <c r="A51" t="s">
        <v>62</v>
      </c>
      <c r="B51" t="s">
        <v>562</v>
      </c>
      <c r="C51" t="s">
        <v>1016</v>
      </c>
      <c r="D51" t="s">
        <v>1017</v>
      </c>
      <c r="E51">
        <v>78125</v>
      </c>
      <c r="F51">
        <v>32626.51386592722</v>
      </c>
      <c r="G51" t="s">
        <v>1024</v>
      </c>
      <c r="H51" s="3">
        <v>45495</v>
      </c>
      <c r="I51" s="3">
        <v>45177</v>
      </c>
      <c r="J51" s="3">
        <v>45496</v>
      </c>
      <c r="K51" t="s">
        <v>1026</v>
      </c>
      <c r="L51">
        <v>47</v>
      </c>
      <c r="M51">
        <v>2278</v>
      </c>
    </row>
    <row r="52" spans="1:13" x14ac:dyDescent="0.35">
      <c r="A52" t="s">
        <v>63</v>
      </c>
      <c r="B52" t="s">
        <v>563</v>
      </c>
      <c r="C52" t="s">
        <v>1013</v>
      </c>
      <c r="D52" t="s">
        <v>1018</v>
      </c>
      <c r="E52">
        <v>15918</v>
      </c>
      <c r="F52">
        <v>33980.034354341922</v>
      </c>
      <c r="G52" t="s">
        <v>1023</v>
      </c>
      <c r="H52" s="3">
        <v>45292</v>
      </c>
      <c r="I52" s="3">
        <v>45141</v>
      </c>
      <c r="J52" s="3">
        <v>45419</v>
      </c>
      <c r="K52" t="s">
        <v>1025</v>
      </c>
      <c r="L52">
        <v>65</v>
      </c>
      <c r="M52">
        <v>13116</v>
      </c>
    </row>
    <row r="53" spans="1:13" x14ac:dyDescent="0.35">
      <c r="A53" t="s">
        <v>64</v>
      </c>
      <c r="B53" t="s">
        <v>564</v>
      </c>
      <c r="C53" t="s">
        <v>1016</v>
      </c>
      <c r="D53" t="s">
        <v>1017</v>
      </c>
      <c r="E53">
        <v>87655</v>
      </c>
      <c r="F53">
        <v>68093.221768322997</v>
      </c>
      <c r="G53" t="s">
        <v>1022</v>
      </c>
      <c r="H53" s="3">
        <v>45308</v>
      </c>
      <c r="I53" s="3">
        <v>45119</v>
      </c>
      <c r="J53" s="3">
        <v>45657</v>
      </c>
      <c r="K53" t="s">
        <v>1025</v>
      </c>
      <c r="L53">
        <v>43</v>
      </c>
      <c r="M53">
        <v>2580</v>
      </c>
    </row>
    <row r="54" spans="1:13" x14ac:dyDescent="0.35">
      <c r="A54" t="s">
        <v>65</v>
      </c>
      <c r="B54" t="s">
        <v>565</v>
      </c>
      <c r="C54" t="s">
        <v>1013</v>
      </c>
      <c r="D54" t="s">
        <v>1021</v>
      </c>
      <c r="E54">
        <v>29446</v>
      </c>
      <c r="F54">
        <v>74057.829710023419</v>
      </c>
      <c r="G54" t="s">
        <v>1023</v>
      </c>
      <c r="H54" s="3">
        <v>45319</v>
      </c>
      <c r="I54" s="3">
        <v>45281</v>
      </c>
      <c r="J54" s="3">
        <v>45399</v>
      </c>
      <c r="K54" t="s">
        <v>1025</v>
      </c>
      <c r="L54">
        <v>34</v>
      </c>
      <c r="M54">
        <v>6958</v>
      </c>
    </row>
    <row r="55" spans="1:13" x14ac:dyDescent="0.35">
      <c r="A55" t="s">
        <v>66</v>
      </c>
      <c r="B55" t="s">
        <v>566</v>
      </c>
      <c r="C55" t="s">
        <v>1014</v>
      </c>
      <c r="D55" t="s">
        <v>1021</v>
      </c>
      <c r="E55">
        <v>15046</v>
      </c>
      <c r="F55">
        <v>24516.46053093678</v>
      </c>
      <c r="G55" t="s">
        <v>1022</v>
      </c>
      <c r="H55" s="3">
        <v>45524</v>
      </c>
      <c r="I55" s="3">
        <v>45018</v>
      </c>
      <c r="J55" s="3">
        <v>45333</v>
      </c>
      <c r="K55" t="s">
        <v>1025</v>
      </c>
      <c r="L55">
        <v>41</v>
      </c>
      <c r="M55">
        <v>10445</v>
      </c>
    </row>
    <row r="56" spans="1:13" x14ac:dyDescent="0.35">
      <c r="A56" t="s">
        <v>67</v>
      </c>
      <c r="B56" t="s">
        <v>567</v>
      </c>
      <c r="C56" t="s">
        <v>1013</v>
      </c>
      <c r="D56" t="s">
        <v>1021</v>
      </c>
      <c r="E56">
        <v>26818</v>
      </c>
      <c r="F56">
        <v>20453.115270563751</v>
      </c>
      <c r="G56" t="s">
        <v>1022</v>
      </c>
      <c r="H56" s="3">
        <v>45347</v>
      </c>
      <c r="I56" s="3">
        <v>45113</v>
      </c>
      <c r="J56" s="3">
        <v>45579</v>
      </c>
      <c r="K56" t="s">
        <v>1025</v>
      </c>
      <c r="L56">
        <v>49</v>
      </c>
      <c r="M56">
        <v>6276</v>
      </c>
    </row>
    <row r="57" spans="1:13" x14ac:dyDescent="0.35">
      <c r="A57" t="s">
        <v>68</v>
      </c>
      <c r="B57" t="s">
        <v>568</v>
      </c>
      <c r="C57" t="s">
        <v>1014</v>
      </c>
      <c r="D57" t="s">
        <v>1017</v>
      </c>
      <c r="E57">
        <v>6324</v>
      </c>
      <c r="F57">
        <v>29266.06653001461</v>
      </c>
      <c r="G57" t="s">
        <v>1022</v>
      </c>
      <c r="H57" s="3">
        <v>45532</v>
      </c>
      <c r="I57" s="3">
        <v>44979</v>
      </c>
      <c r="J57" s="3">
        <v>45400</v>
      </c>
      <c r="K57" t="s">
        <v>1026</v>
      </c>
      <c r="L57">
        <v>23</v>
      </c>
      <c r="M57">
        <v>9997</v>
      </c>
    </row>
    <row r="58" spans="1:13" x14ac:dyDescent="0.35">
      <c r="A58" t="s">
        <v>69</v>
      </c>
      <c r="B58" t="s">
        <v>569</v>
      </c>
      <c r="C58" t="s">
        <v>1014</v>
      </c>
      <c r="D58" t="s">
        <v>1021</v>
      </c>
      <c r="E58">
        <v>78323</v>
      </c>
      <c r="F58">
        <v>45978.046376547682</v>
      </c>
      <c r="G58" t="s">
        <v>1023</v>
      </c>
      <c r="H58" s="3">
        <v>45574</v>
      </c>
      <c r="I58" s="3">
        <v>44954</v>
      </c>
      <c r="J58" s="3">
        <v>45318</v>
      </c>
      <c r="K58" t="s">
        <v>1026</v>
      </c>
      <c r="L58">
        <v>32</v>
      </c>
      <c r="M58">
        <v>6776</v>
      </c>
    </row>
    <row r="59" spans="1:13" x14ac:dyDescent="0.35">
      <c r="A59" t="s">
        <v>70</v>
      </c>
      <c r="B59" t="s">
        <v>570</v>
      </c>
      <c r="C59" t="s">
        <v>1015</v>
      </c>
      <c r="D59" t="s">
        <v>1017</v>
      </c>
      <c r="E59">
        <v>11111</v>
      </c>
      <c r="F59">
        <v>13063.39837047861</v>
      </c>
      <c r="G59" t="s">
        <v>1023</v>
      </c>
      <c r="H59" s="3">
        <v>45399</v>
      </c>
      <c r="I59" s="3">
        <v>44980</v>
      </c>
      <c r="J59" s="3">
        <v>45590</v>
      </c>
      <c r="K59" t="s">
        <v>1026</v>
      </c>
      <c r="L59">
        <v>42</v>
      </c>
      <c r="M59">
        <v>2824</v>
      </c>
    </row>
    <row r="60" spans="1:13" x14ac:dyDescent="0.35">
      <c r="A60" t="s">
        <v>71</v>
      </c>
      <c r="B60" t="s">
        <v>571</v>
      </c>
      <c r="C60" t="s">
        <v>1013</v>
      </c>
      <c r="D60" t="s">
        <v>1021</v>
      </c>
      <c r="E60">
        <v>40110</v>
      </c>
      <c r="F60">
        <v>80268.353869665458</v>
      </c>
      <c r="G60" t="s">
        <v>1023</v>
      </c>
      <c r="H60" s="3">
        <v>45318</v>
      </c>
      <c r="I60" s="3">
        <v>45184</v>
      </c>
      <c r="J60" s="3">
        <v>45417</v>
      </c>
      <c r="K60" t="s">
        <v>1026</v>
      </c>
      <c r="L60">
        <v>27</v>
      </c>
      <c r="M60">
        <v>5832</v>
      </c>
    </row>
    <row r="61" spans="1:13" x14ac:dyDescent="0.35">
      <c r="A61" t="s">
        <v>72</v>
      </c>
      <c r="B61" t="s">
        <v>572</v>
      </c>
      <c r="C61" t="s">
        <v>1015</v>
      </c>
      <c r="D61" t="s">
        <v>1019</v>
      </c>
      <c r="E61">
        <v>18389</v>
      </c>
      <c r="F61">
        <v>43957.841710864268</v>
      </c>
      <c r="G61" t="s">
        <v>1024</v>
      </c>
      <c r="H61" s="3">
        <v>45518</v>
      </c>
      <c r="I61" s="3">
        <v>45131</v>
      </c>
      <c r="J61" s="3">
        <v>45552</v>
      </c>
      <c r="K61" t="s">
        <v>1026</v>
      </c>
      <c r="L61">
        <v>37</v>
      </c>
      <c r="M61">
        <v>10891</v>
      </c>
    </row>
    <row r="62" spans="1:13" x14ac:dyDescent="0.35">
      <c r="A62" t="s">
        <v>73</v>
      </c>
      <c r="B62" t="s">
        <v>573</v>
      </c>
      <c r="C62" t="s">
        <v>1013</v>
      </c>
      <c r="D62" t="s">
        <v>1021</v>
      </c>
      <c r="E62">
        <v>43427</v>
      </c>
      <c r="F62">
        <v>14103.781392996139</v>
      </c>
      <c r="G62" t="s">
        <v>1024</v>
      </c>
      <c r="H62" s="3">
        <v>45586</v>
      </c>
      <c r="I62" s="3">
        <v>45098</v>
      </c>
      <c r="J62" s="3">
        <v>45594</v>
      </c>
      <c r="K62" t="s">
        <v>1026</v>
      </c>
      <c r="L62">
        <v>31</v>
      </c>
      <c r="M62">
        <v>7445</v>
      </c>
    </row>
    <row r="63" spans="1:13" x14ac:dyDescent="0.35">
      <c r="A63" t="s">
        <v>74</v>
      </c>
      <c r="B63" t="s">
        <v>574</v>
      </c>
      <c r="C63" t="s">
        <v>1013</v>
      </c>
      <c r="D63" t="s">
        <v>1017</v>
      </c>
      <c r="E63">
        <v>81579</v>
      </c>
      <c r="F63">
        <v>95770.872873758781</v>
      </c>
      <c r="G63" t="s">
        <v>1023</v>
      </c>
      <c r="H63" s="3">
        <v>45444</v>
      </c>
      <c r="I63" s="3">
        <v>45231</v>
      </c>
      <c r="J63" s="3">
        <v>45601</v>
      </c>
      <c r="K63" t="s">
        <v>1025</v>
      </c>
      <c r="L63">
        <v>50</v>
      </c>
      <c r="M63">
        <v>3380</v>
      </c>
    </row>
    <row r="64" spans="1:13" x14ac:dyDescent="0.35">
      <c r="A64" t="s">
        <v>75</v>
      </c>
      <c r="B64" t="s">
        <v>575</v>
      </c>
      <c r="C64" t="s">
        <v>1015</v>
      </c>
      <c r="D64" t="s">
        <v>1020</v>
      </c>
      <c r="E64">
        <v>30746</v>
      </c>
      <c r="F64">
        <v>47933.490039303011</v>
      </c>
      <c r="G64" t="s">
        <v>1023</v>
      </c>
      <c r="H64" s="3">
        <v>45497</v>
      </c>
      <c r="I64" s="3">
        <v>45244</v>
      </c>
      <c r="J64" s="3">
        <v>45637</v>
      </c>
      <c r="K64" t="s">
        <v>1025</v>
      </c>
      <c r="L64">
        <v>33</v>
      </c>
      <c r="M64">
        <v>14088</v>
      </c>
    </row>
    <row r="65" spans="1:13" x14ac:dyDescent="0.35">
      <c r="A65" t="s">
        <v>76</v>
      </c>
      <c r="B65" t="s">
        <v>576</v>
      </c>
      <c r="C65" t="s">
        <v>1015</v>
      </c>
      <c r="D65" t="s">
        <v>1021</v>
      </c>
      <c r="E65">
        <v>89886</v>
      </c>
      <c r="F65">
        <v>43864.489128887173</v>
      </c>
      <c r="G65" t="s">
        <v>1023</v>
      </c>
      <c r="H65" s="3">
        <v>45383</v>
      </c>
      <c r="I65" s="3">
        <v>45074</v>
      </c>
      <c r="J65" s="3">
        <v>45625</v>
      </c>
      <c r="K65" t="s">
        <v>1026</v>
      </c>
      <c r="L65">
        <v>53</v>
      </c>
      <c r="M65">
        <v>11865</v>
      </c>
    </row>
    <row r="66" spans="1:13" x14ac:dyDescent="0.35">
      <c r="A66" t="s">
        <v>77</v>
      </c>
      <c r="B66" t="s">
        <v>577</v>
      </c>
      <c r="C66" t="s">
        <v>1013</v>
      </c>
      <c r="D66" t="s">
        <v>1020</v>
      </c>
      <c r="E66">
        <v>2117</v>
      </c>
      <c r="F66">
        <v>26065.649748704509</v>
      </c>
      <c r="G66" t="s">
        <v>1022</v>
      </c>
      <c r="H66" s="3">
        <v>45332</v>
      </c>
      <c r="I66" s="3">
        <v>45111</v>
      </c>
      <c r="J66" s="3">
        <v>45460</v>
      </c>
      <c r="K66" t="s">
        <v>1026</v>
      </c>
      <c r="L66">
        <v>37</v>
      </c>
      <c r="M66">
        <v>12919</v>
      </c>
    </row>
    <row r="67" spans="1:13" x14ac:dyDescent="0.35">
      <c r="A67" t="s">
        <v>78</v>
      </c>
      <c r="B67" t="s">
        <v>578</v>
      </c>
      <c r="C67" t="s">
        <v>1016</v>
      </c>
      <c r="D67" t="s">
        <v>1019</v>
      </c>
      <c r="E67">
        <v>86471</v>
      </c>
      <c r="F67">
        <v>8580.2329466446699</v>
      </c>
      <c r="G67" t="s">
        <v>1022</v>
      </c>
      <c r="H67" s="3">
        <v>45344</v>
      </c>
      <c r="I67" s="3">
        <v>45033</v>
      </c>
      <c r="J67" s="3">
        <v>45502</v>
      </c>
      <c r="K67" t="s">
        <v>1025</v>
      </c>
      <c r="L67">
        <v>53</v>
      </c>
      <c r="M67">
        <v>8534</v>
      </c>
    </row>
    <row r="68" spans="1:13" x14ac:dyDescent="0.35">
      <c r="A68" t="s">
        <v>79</v>
      </c>
      <c r="B68" t="s">
        <v>579</v>
      </c>
      <c r="C68" t="s">
        <v>1014</v>
      </c>
      <c r="D68" t="s">
        <v>1018</v>
      </c>
      <c r="E68">
        <v>15234</v>
      </c>
      <c r="F68">
        <v>22486.710089945591</v>
      </c>
      <c r="G68" t="s">
        <v>1023</v>
      </c>
      <c r="H68" s="3">
        <v>45394</v>
      </c>
      <c r="I68" s="3">
        <v>45289</v>
      </c>
      <c r="J68" s="3">
        <v>45356</v>
      </c>
      <c r="K68" t="s">
        <v>1025</v>
      </c>
      <c r="L68">
        <v>30</v>
      </c>
      <c r="M68">
        <v>5156</v>
      </c>
    </row>
    <row r="69" spans="1:13" x14ac:dyDescent="0.35">
      <c r="A69" t="s">
        <v>80</v>
      </c>
      <c r="B69" t="s">
        <v>580</v>
      </c>
      <c r="C69" t="s">
        <v>1015</v>
      </c>
      <c r="D69" t="s">
        <v>1019</v>
      </c>
      <c r="E69">
        <v>55441</v>
      </c>
      <c r="F69">
        <v>58336.699258038992</v>
      </c>
      <c r="G69" t="s">
        <v>1023</v>
      </c>
      <c r="H69" s="3">
        <v>45422</v>
      </c>
      <c r="I69" s="3">
        <v>44949</v>
      </c>
      <c r="J69" s="3">
        <v>45361</v>
      </c>
      <c r="K69" t="s">
        <v>1025</v>
      </c>
      <c r="L69">
        <v>60</v>
      </c>
      <c r="M69">
        <v>13580</v>
      </c>
    </row>
    <row r="70" spans="1:13" x14ac:dyDescent="0.35">
      <c r="A70" t="s">
        <v>81</v>
      </c>
      <c r="B70" t="s">
        <v>581</v>
      </c>
      <c r="C70" t="s">
        <v>1014</v>
      </c>
      <c r="D70" t="s">
        <v>1021</v>
      </c>
      <c r="E70">
        <v>2846</v>
      </c>
      <c r="F70">
        <v>9516.6712233565722</v>
      </c>
      <c r="G70" t="s">
        <v>1022</v>
      </c>
      <c r="H70" s="3">
        <v>45351</v>
      </c>
      <c r="I70" s="3">
        <v>45136</v>
      </c>
      <c r="J70" s="3">
        <v>45293</v>
      </c>
      <c r="K70" t="s">
        <v>1026</v>
      </c>
      <c r="L70">
        <v>31</v>
      </c>
      <c r="M70">
        <v>6307</v>
      </c>
    </row>
    <row r="71" spans="1:13" x14ac:dyDescent="0.35">
      <c r="A71" t="s">
        <v>82</v>
      </c>
      <c r="B71" t="s">
        <v>582</v>
      </c>
      <c r="C71" t="s">
        <v>1016</v>
      </c>
      <c r="D71" t="s">
        <v>1020</v>
      </c>
      <c r="E71">
        <v>12954</v>
      </c>
      <c r="F71">
        <v>64108.966254510917</v>
      </c>
      <c r="G71" t="s">
        <v>1022</v>
      </c>
      <c r="H71" s="3">
        <v>45492</v>
      </c>
      <c r="I71" s="3">
        <v>45122</v>
      </c>
      <c r="J71" s="3">
        <v>45317</v>
      </c>
      <c r="K71" t="s">
        <v>1026</v>
      </c>
      <c r="L71">
        <v>68</v>
      </c>
      <c r="M71">
        <v>7634</v>
      </c>
    </row>
    <row r="72" spans="1:13" x14ac:dyDescent="0.35">
      <c r="A72" t="s">
        <v>83</v>
      </c>
      <c r="B72" t="s">
        <v>583</v>
      </c>
      <c r="C72" t="s">
        <v>1016</v>
      </c>
      <c r="D72" t="s">
        <v>1020</v>
      </c>
      <c r="E72">
        <v>81239</v>
      </c>
      <c r="F72">
        <v>68876.935803622662</v>
      </c>
      <c r="G72" t="s">
        <v>1023</v>
      </c>
      <c r="H72" s="3">
        <v>45584</v>
      </c>
      <c r="I72" s="3">
        <v>45082</v>
      </c>
      <c r="J72" s="3">
        <v>45639</v>
      </c>
      <c r="K72" t="s">
        <v>1026</v>
      </c>
      <c r="L72">
        <v>34</v>
      </c>
      <c r="M72">
        <v>10575</v>
      </c>
    </row>
    <row r="73" spans="1:13" x14ac:dyDescent="0.35">
      <c r="A73" t="s">
        <v>84</v>
      </c>
      <c r="B73" t="s">
        <v>584</v>
      </c>
      <c r="C73" t="s">
        <v>1016</v>
      </c>
      <c r="D73" t="s">
        <v>1017</v>
      </c>
      <c r="E73">
        <v>48514</v>
      </c>
      <c r="F73">
        <v>44194.597994826159</v>
      </c>
      <c r="G73" t="s">
        <v>1023</v>
      </c>
      <c r="H73" s="3">
        <v>45396</v>
      </c>
      <c r="I73" s="3">
        <v>45111</v>
      </c>
      <c r="J73" s="3">
        <v>45487</v>
      </c>
      <c r="K73" t="s">
        <v>1025</v>
      </c>
      <c r="L73">
        <v>50</v>
      </c>
      <c r="M73">
        <v>7810</v>
      </c>
    </row>
    <row r="74" spans="1:13" x14ac:dyDescent="0.35">
      <c r="A74" t="s">
        <v>85</v>
      </c>
      <c r="B74" t="s">
        <v>585</v>
      </c>
      <c r="C74" t="s">
        <v>1015</v>
      </c>
      <c r="D74" t="s">
        <v>1020</v>
      </c>
      <c r="E74">
        <v>90236</v>
      </c>
      <c r="F74">
        <v>29719.670674958488</v>
      </c>
      <c r="G74" t="s">
        <v>1023</v>
      </c>
      <c r="H74" s="3">
        <v>45541</v>
      </c>
      <c r="I74" s="3">
        <v>45026</v>
      </c>
      <c r="J74" s="3">
        <v>45606</v>
      </c>
      <c r="K74" t="s">
        <v>1025</v>
      </c>
      <c r="L74">
        <v>68</v>
      </c>
      <c r="M74">
        <v>10533</v>
      </c>
    </row>
    <row r="75" spans="1:13" x14ac:dyDescent="0.35">
      <c r="A75" t="s">
        <v>86</v>
      </c>
      <c r="B75" t="s">
        <v>586</v>
      </c>
      <c r="C75" t="s">
        <v>1016</v>
      </c>
      <c r="D75" t="s">
        <v>1017</v>
      </c>
      <c r="E75">
        <v>99579</v>
      </c>
      <c r="F75">
        <v>56127.850825409238</v>
      </c>
      <c r="G75" t="s">
        <v>1023</v>
      </c>
      <c r="H75" s="3">
        <v>45515</v>
      </c>
      <c r="I75" s="3">
        <v>45025</v>
      </c>
      <c r="J75" s="3">
        <v>45301</v>
      </c>
      <c r="K75" t="s">
        <v>1026</v>
      </c>
      <c r="L75">
        <v>48</v>
      </c>
      <c r="M75">
        <v>7934</v>
      </c>
    </row>
    <row r="76" spans="1:13" x14ac:dyDescent="0.35">
      <c r="A76" t="s">
        <v>87</v>
      </c>
      <c r="B76" t="s">
        <v>587</v>
      </c>
      <c r="C76" t="s">
        <v>1015</v>
      </c>
      <c r="D76" t="s">
        <v>1018</v>
      </c>
      <c r="E76">
        <v>8469</v>
      </c>
      <c r="F76">
        <v>7186.4646095004346</v>
      </c>
      <c r="G76" t="s">
        <v>1023</v>
      </c>
      <c r="H76" s="3">
        <v>45545</v>
      </c>
      <c r="I76" s="3">
        <v>45137</v>
      </c>
      <c r="J76" s="3">
        <v>45318</v>
      </c>
      <c r="K76" t="s">
        <v>1026</v>
      </c>
      <c r="L76">
        <v>45</v>
      </c>
      <c r="M76">
        <v>12179</v>
      </c>
    </row>
    <row r="77" spans="1:13" x14ac:dyDescent="0.35">
      <c r="A77" t="s">
        <v>88</v>
      </c>
      <c r="B77" t="s">
        <v>588</v>
      </c>
      <c r="C77" t="s">
        <v>1016</v>
      </c>
      <c r="D77" t="s">
        <v>1021</v>
      </c>
      <c r="E77">
        <v>32105</v>
      </c>
      <c r="F77">
        <v>22469.647537496068</v>
      </c>
      <c r="G77" t="s">
        <v>1023</v>
      </c>
      <c r="H77" s="3">
        <v>45552</v>
      </c>
      <c r="I77" s="3">
        <v>45179</v>
      </c>
      <c r="J77" s="3">
        <v>45351</v>
      </c>
      <c r="K77" t="s">
        <v>1025</v>
      </c>
      <c r="L77">
        <v>37</v>
      </c>
      <c r="M77">
        <v>14251</v>
      </c>
    </row>
    <row r="78" spans="1:13" x14ac:dyDescent="0.35">
      <c r="A78" t="s">
        <v>89</v>
      </c>
      <c r="B78" t="s">
        <v>589</v>
      </c>
      <c r="C78" t="s">
        <v>1014</v>
      </c>
      <c r="D78" t="s">
        <v>1017</v>
      </c>
      <c r="E78">
        <v>44101</v>
      </c>
      <c r="F78">
        <v>34395.072700674347</v>
      </c>
      <c r="G78" t="s">
        <v>1022</v>
      </c>
      <c r="H78" s="3">
        <v>45575</v>
      </c>
      <c r="I78" s="3">
        <v>45007</v>
      </c>
      <c r="J78" s="3">
        <v>45511</v>
      </c>
      <c r="K78" t="s">
        <v>1025</v>
      </c>
      <c r="L78">
        <v>51</v>
      </c>
      <c r="M78">
        <v>5109</v>
      </c>
    </row>
    <row r="79" spans="1:13" x14ac:dyDescent="0.35">
      <c r="A79" t="s">
        <v>90</v>
      </c>
      <c r="B79" t="s">
        <v>590</v>
      </c>
      <c r="C79" t="s">
        <v>1014</v>
      </c>
      <c r="D79" t="s">
        <v>1018</v>
      </c>
      <c r="E79">
        <v>66323</v>
      </c>
      <c r="F79">
        <v>28599.37010050055</v>
      </c>
      <c r="G79" t="s">
        <v>1023</v>
      </c>
      <c r="H79" s="3">
        <v>45551</v>
      </c>
      <c r="I79" s="3">
        <v>45171</v>
      </c>
      <c r="J79" s="3">
        <v>45481</v>
      </c>
      <c r="K79" t="s">
        <v>1025</v>
      </c>
      <c r="L79">
        <v>41</v>
      </c>
      <c r="M79">
        <v>6082</v>
      </c>
    </row>
    <row r="80" spans="1:13" x14ac:dyDescent="0.35">
      <c r="A80" t="s">
        <v>91</v>
      </c>
      <c r="B80" t="s">
        <v>591</v>
      </c>
      <c r="C80" t="s">
        <v>1013</v>
      </c>
      <c r="D80" t="s">
        <v>1020</v>
      </c>
      <c r="E80">
        <v>93922</v>
      </c>
      <c r="F80">
        <v>25381.522048250361</v>
      </c>
      <c r="G80" t="s">
        <v>1022</v>
      </c>
      <c r="H80" s="3">
        <v>45400</v>
      </c>
      <c r="I80" s="3">
        <v>45008</v>
      </c>
      <c r="J80" s="3">
        <v>45447</v>
      </c>
      <c r="K80" t="s">
        <v>1025</v>
      </c>
      <c r="L80">
        <v>57</v>
      </c>
      <c r="M80">
        <v>14707</v>
      </c>
    </row>
    <row r="81" spans="1:13" x14ac:dyDescent="0.35">
      <c r="A81" t="s">
        <v>92</v>
      </c>
      <c r="B81" t="s">
        <v>592</v>
      </c>
      <c r="C81" t="s">
        <v>1014</v>
      </c>
      <c r="D81" t="s">
        <v>1020</v>
      </c>
      <c r="E81">
        <v>60067</v>
      </c>
      <c r="F81">
        <v>20019.132405939421</v>
      </c>
      <c r="G81" t="s">
        <v>1023</v>
      </c>
      <c r="H81" s="3">
        <v>45345</v>
      </c>
      <c r="I81" s="3">
        <v>45075</v>
      </c>
      <c r="J81" s="3">
        <v>45492</v>
      </c>
      <c r="K81" t="s">
        <v>1026</v>
      </c>
      <c r="L81">
        <v>36</v>
      </c>
      <c r="M81">
        <v>12990</v>
      </c>
    </row>
    <row r="82" spans="1:13" x14ac:dyDescent="0.35">
      <c r="A82" t="s">
        <v>93</v>
      </c>
      <c r="B82" t="s">
        <v>593</v>
      </c>
      <c r="C82" t="s">
        <v>1013</v>
      </c>
      <c r="D82" t="s">
        <v>1018</v>
      </c>
      <c r="E82">
        <v>51376</v>
      </c>
      <c r="F82">
        <v>21059.46449928531</v>
      </c>
      <c r="G82" t="s">
        <v>1023</v>
      </c>
      <c r="H82" s="3">
        <v>45543</v>
      </c>
      <c r="I82" s="3">
        <v>45267</v>
      </c>
      <c r="J82" s="3">
        <v>45652</v>
      </c>
      <c r="K82" t="s">
        <v>1025</v>
      </c>
      <c r="L82">
        <v>42</v>
      </c>
      <c r="M82">
        <v>5240</v>
      </c>
    </row>
    <row r="83" spans="1:13" x14ac:dyDescent="0.35">
      <c r="A83" t="s">
        <v>94</v>
      </c>
      <c r="B83" t="s">
        <v>594</v>
      </c>
      <c r="C83" t="s">
        <v>1014</v>
      </c>
      <c r="D83" t="s">
        <v>1020</v>
      </c>
      <c r="E83">
        <v>47587</v>
      </c>
      <c r="F83">
        <v>12950.068812750789</v>
      </c>
      <c r="G83" t="s">
        <v>1023</v>
      </c>
      <c r="H83" s="3">
        <v>45493</v>
      </c>
      <c r="I83" s="3">
        <v>45214</v>
      </c>
      <c r="J83" s="3">
        <v>45473</v>
      </c>
      <c r="K83" t="s">
        <v>1025</v>
      </c>
      <c r="L83">
        <v>43</v>
      </c>
      <c r="M83">
        <v>12180</v>
      </c>
    </row>
    <row r="84" spans="1:13" x14ac:dyDescent="0.35">
      <c r="A84" t="s">
        <v>95</v>
      </c>
      <c r="B84" t="s">
        <v>595</v>
      </c>
      <c r="C84" t="s">
        <v>1015</v>
      </c>
      <c r="D84" t="s">
        <v>1018</v>
      </c>
      <c r="E84">
        <v>38976</v>
      </c>
      <c r="F84">
        <v>51461.965770763723</v>
      </c>
      <c r="G84" t="s">
        <v>1023</v>
      </c>
      <c r="H84" s="3">
        <v>45400</v>
      </c>
      <c r="I84" s="3">
        <v>45015</v>
      </c>
      <c r="J84" s="3">
        <v>45457</v>
      </c>
      <c r="K84" t="s">
        <v>1025</v>
      </c>
      <c r="L84">
        <v>69</v>
      </c>
      <c r="M84">
        <v>8028</v>
      </c>
    </row>
    <row r="85" spans="1:13" x14ac:dyDescent="0.35">
      <c r="A85" t="s">
        <v>96</v>
      </c>
      <c r="B85" t="s">
        <v>596</v>
      </c>
      <c r="C85" t="s">
        <v>1014</v>
      </c>
      <c r="D85" t="s">
        <v>1017</v>
      </c>
      <c r="E85">
        <v>69584</v>
      </c>
      <c r="F85">
        <v>55471.009636943098</v>
      </c>
      <c r="G85" t="s">
        <v>1022</v>
      </c>
      <c r="H85" s="3">
        <v>45385</v>
      </c>
      <c r="I85" s="3">
        <v>45023</v>
      </c>
      <c r="J85" s="3">
        <v>45622</v>
      </c>
      <c r="K85" t="s">
        <v>1026</v>
      </c>
      <c r="L85">
        <v>27</v>
      </c>
      <c r="M85">
        <v>13606</v>
      </c>
    </row>
    <row r="86" spans="1:13" x14ac:dyDescent="0.35">
      <c r="A86" t="s">
        <v>97</v>
      </c>
      <c r="B86" t="s">
        <v>597</v>
      </c>
      <c r="C86" t="s">
        <v>1013</v>
      </c>
      <c r="D86" t="s">
        <v>1017</v>
      </c>
      <c r="E86">
        <v>80477</v>
      </c>
      <c r="F86">
        <v>87976.427785585387</v>
      </c>
      <c r="G86" t="s">
        <v>1024</v>
      </c>
      <c r="H86" s="3">
        <v>45322</v>
      </c>
      <c r="I86" s="3">
        <v>45197</v>
      </c>
      <c r="J86" s="3">
        <v>45655</v>
      </c>
      <c r="K86" t="s">
        <v>1026</v>
      </c>
      <c r="L86">
        <v>60</v>
      </c>
      <c r="M86">
        <v>3849</v>
      </c>
    </row>
    <row r="87" spans="1:13" x14ac:dyDescent="0.35">
      <c r="A87" t="s">
        <v>98</v>
      </c>
      <c r="B87" t="s">
        <v>598</v>
      </c>
      <c r="C87" t="s">
        <v>1013</v>
      </c>
      <c r="D87" t="s">
        <v>1018</v>
      </c>
      <c r="E87">
        <v>44533</v>
      </c>
      <c r="F87">
        <v>68463.749532763031</v>
      </c>
      <c r="G87" t="s">
        <v>1023</v>
      </c>
      <c r="H87" s="3">
        <v>45399</v>
      </c>
      <c r="I87" s="3">
        <v>44928</v>
      </c>
      <c r="J87" s="3">
        <v>45343</v>
      </c>
      <c r="K87" t="s">
        <v>1025</v>
      </c>
      <c r="L87">
        <v>25</v>
      </c>
      <c r="M87">
        <v>10497</v>
      </c>
    </row>
    <row r="88" spans="1:13" x14ac:dyDescent="0.35">
      <c r="A88" t="s">
        <v>99</v>
      </c>
      <c r="B88" t="s">
        <v>599</v>
      </c>
      <c r="C88" t="s">
        <v>1016</v>
      </c>
      <c r="D88" t="s">
        <v>1017</v>
      </c>
      <c r="E88">
        <v>3828</v>
      </c>
      <c r="F88">
        <v>0</v>
      </c>
      <c r="G88" t="s">
        <v>1023</v>
      </c>
      <c r="H88" s="3">
        <v>45489</v>
      </c>
      <c r="I88" s="3">
        <v>45262</v>
      </c>
      <c r="J88" s="3">
        <v>45512</v>
      </c>
      <c r="K88" t="s">
        <v>1025</v>
      </c>
      <c r="L88">
        <v>24</v>
      </c>
      <c r="M88">
        <v>13805</v>
      </c>
    </row>
    <row r="89" spans="1:13" x14ac:dyDescent="0.35">
      <c r="A89" t="s">
        <v>100</v>
      </c>
      <c r="B89" t="s">
        <v>600</v>
      </c>
      <c r="C89" t="s">
        <v>1015</v>
      </c>
      <c r="D89" t="s">
        <v>1017</v>
      </c>
      <c r="E89">
        <v>3917</v>
      </c>
      <c r="F89">
        <v>31237.366667832841</v>
      </c>
      <c r="G89" t="s">
        <v>1022</v>
      </c>
      <c r="H89" s="3">
        <v>45299</v>
      </c>
      <c r="I89" s="3">
        <v>45140</v>
      </c>
      <c r="J89" s="3">
        <v>45292</v>
      </c>
      <c r="K89" t="s">
        <v>1025</v>
      </c>
      <c r="L89">
        <v>63</v>
      </c>
      <c r="M89">
        <v>4749</v>
      </c>
    </row>
    <row r="90" spans="1:13" x14ac:dyDescent="0.35">
      <c r="A90" t="s">
        <v>101</v>
      </c>
      <c r="B90" t="s">
        <v>601</v>
      </c>
      <c r="C90" t="s">
        <v>1014</v>
      </c>
      <c r="D90" t="s">
        <v>1017</v>
      </c>
      <c r="E90">
        <v>22618</v>
      </c>
      <c r="F90">
        <v>85784.226156011544</v>
      </c>
      <c r="G90" t="s">
        <v>1023</v>
      </c>
      <c r="H90" s="3">
        <v>45370</v>
      </c>
      <c r="I90" s="3">
        <v>45065</v>
      </c>
      <c r="J90" s="3">
        <v>45650</v>
      </c>
      <c r="K90" t="s">
        <v>1026</v>
      </c>
      <c r="L90">
        <v>48</v>
      </c>
      <c r="M90">
        <v>8680</v>
      </c>
    </row>
    <row r="91" spans="1:13" x14ac:dyDescent="0.35">
      <c r="A91" t="s">
        <v>102</v>
      </c>
      <c r="B91" t="s">
        <v>602</v>
      </c>
      <c r="C91" t="s">
        <v>1016</v>
      </c>
      <c r="D91" t="s">
        <v>1019</v>
      </c>
      <c r="E91">
        <v>34254</v>
      </c>
      <c r="F91">
        <v>40928.220499709598</v>
      </c>
      <c r="G91" t="s">
        <v>1023</v>
      </c>
      <c r="H91" s="3">
        <v>45542</v>
      </c>
      <c r="I91" s="3">
        <v>44954</v>
      </c>
      <c r="J91" s="3">
        <v>45344</v>
      </c>
      <c r="K91" t="s">
        <v>1026</v>
      </c>
      <c r="L91">
        <v>47</v>
      </c>
      <c r="M91">
        <v>11327</v>
      </c>
    </row>
    <row r="92" spans="1:13" x14ac:dyDescent="0.35">
      <c r="A92" t="s">
        <v>103</v>
      </c>
      <c r="B92" t="s">
        <v>603</v>
      </c>
      <c r="C92" t="s">
        <v>1014</v>
      </c>
      <c r="D92" t="s">
        <v>1021</v>
      </c>
      <c r="E92">
        <v>49362</v>
      </c>
      <c r="F92">
        <v>74852.572510418497</v>
      </c>
      <c r="G92" t="s">
        <v>1022</v>
      </c>
      <c r="H92" s="3">
        <v>45569</v>
      </c>
      <c r="I92" s="3">
        <v>45098</v>
      </c>
      <c r="J92" s="3">
        <v>45515</v>
      </c>
      <c r="K92" t="s">
        <v>1026</v>
      </c>
      <c r="L92">
        <v>30</v>
      </c>
      <c r="M92">
        <v>2205</v>
      </c>
    </row>
    <row r="93" spans="1:13" x14ac:dyDescent="0.35">
      <c r="A93" t="s">
        <v>104</v>
      </c>
      <c r="B93" t="s">
        <v>604</v>
      </c>
      <c r="C93" t="s">
        <v>1014</v>
      </c>
      <c r="D93" t="s">
        <v>1020</v>
      </c>
      <c r="E93">
        <v>22128</v>
      </c>
      <c r="F93">
        <v>83333.103057094879</v>
      </c>
      <c r="G93" t="s">
        <v>1023</v>
      </c>
      <c r="H93" s="3">
        <v>45485</v>
      </c>
      <c r="I93" s="3">
        <v>45280</v>
      </c>
      <c r="J93" s="3">
        <v>45472</v>
      </c>
      <c r="K93" t="s">
        <v>1025</v>
      </c>
      <c r="L93">
        <v>20</v>
      </c>
      <c r="M93">
        <v>9352</v>
      </c>
    </row>
    <row r="94" spans="1:13" x14ac:dyDescent="0.35">
      <c r="A94" t="s">
        <v>105</v>
      </c>
      <c r="B94" t="s">
        <v>605</v>
      </c>
      <c r="C94" t="s">
        <v>1016</v>
      </c>
      <c r="D94" t="s">
        <v>1019</v>
      </c>
      <c r="E94">
        <v>61383</v>
      </c>
      <c r="F94">
        <v>49213.714764434502</v>
      </c>
      <c r="G94" t="s">
        <v>1023</v>
      </c>
      <c r="H94" s="3">
        <v>45378</v>
      </c>
      <c r="I94" s="3">
        <v>45082</v>
      </c>
      <c r="J94" s="3">
        <v>45461</v>
      </c>
      <c r="K94" t="s">
        <v>1026</v>
      </c>
      <c r="L94">
        <v>62</v>
      </c>
      <c r="M94">
        <v>6591</v>
      </c>
    </row>
    <row r="95" spans="1:13" x14ac:dyDescent="0.35">
      <c r="A95" t="s">
        <v>106</v>
      </c>
      <c r="B95" t="s">
        <v>606</v>
      </c>
      <c r="C95" t="s">
        <v>1016</v>
      </c>
      <c r="D95" t="s">
        <v>1017</v>
      </c>
      <c r="E95">
        <v>67545</v>
      </c>
      <c r="F95">
        <v>4156.0560359412102</v>
      </c>
      <c r="G95" t="s">
        <v>1023</v>
      </c>
      <c r="H95" s="3">
        <v>45355</v>
      </c>
      <c r="I95" s="3">
        <v>45132</v>
      </c>
      <c r="J95" s="3">
        <v>45325</v>
      </c>
      <c r="K95" t="s">
        <v>1025</v>
      </c>
      <c r="L95">
        <v>38</v>
      </c>
      <c r="M95">
        <v>5450</v>
      </c>
    </row>
    <row r="96" spans="1:13" x14ac:dyDescent="0.35">
      <c r="A96" t="s">
        <v>107</v>
      </c>
      <c r="B96" t="s">
        <v>607</v>
      </c>
      <c r="C96" t="s">
        <v>1016</v>
      </c>
      <c r="D96" t="s">
        <v>1018</v>
      </c>
      <c r="E96">
        <v>84180</v>
      </c>
      <c r="F96">
        <v>68263.887639890425</v>
      </c>
      <c r="G96" t="s">
        <v>1022</v>
      </c>
      <c r="H96" s="3">
        <v>45341</v>
      </c>
      <c r="I96" s="3">
        <v>45022</v>
      </c>
      <c r="J96" s="3">
        <v>45332</v>
      </c>
      <c r="K96" t="s">
        <v>1025</v>
      </c>
      <c r="L96">
        <v>28</v>
      </c>
      <c r="M96">
        <v>9214</v>
      </c>
    </row>
    <row r="97" spans="1:13" x14ac:dyDescent="0.35">
      <c r="A97" t="s">
        <v>108</v>
      </c>
      <c r="B97" t="s">
        <v>608</v>
      </c>
      <c r="C97" t="s">
        <v>1016</v>
      </c>
      <c r="D97" t="s">
        <v>1017</v>
      </c>
      <c r="E97">
        <v>89958</v>
      </c>
      <c r="F97">
        <v>17906.649336671959</v>
      </c>
      <c r="G97" t="s">
        <v>1023</v>
      </c>
      <c r="H97" s="3">
        <v>45487</v>
      </c>
      <c r="I97" s="3">
        <v>45157</v>
      </c>
      <c r="J97" s="3">
        <v>45500</v>
      </c>
      <c r="K97" t="s">
        <v>1025</v>
      </c>
      <c r="L97">
        <v>46</v>
      </c>
      <c r="M97">
        <v>5811</v>
      </c>
    </row>
    <row r="98" spans="1:13" x14ac:dyDescent="0.35">
      <c r="A98" t="s">
        <v>109</v>
      </c>
      <c r="B98" t="s">
        <v>609</v>
      </c>
      <c r="C98" t="s">
        <v>1016</v>
      </c>
      <c r="D98" t="s">
        <v>1021</v>
      </c>
      <c r="E98">
        <v>11865</v>
      </c>
      <c r="F98">
        <v>17042.25866208546</v>
      </c>
      <c r="G98" t="s">
        <v>1023</v>
      </c>
      <c r="H98" s="3">
        <v>45385</v>
      </c>
      <c r="I98" s="3">
        <v>44955</v>
      </c>
      <c r="J98" s="3">
        <v>45320</v>
      </c>
      <c r="K98" t="s">
        <v>1026</v>
      </c>
      <c r="L98">
        <v>53</v>
      </c>
      <c r="M98">
        <v>13814</v>
      </c>
    </row>
    <row r="99" spans="1:13" x14ac:dyDescent="0.35">
      <c r="A99" t="s">
        <v>110</v>
      </c>
      <c r="B99" t="s">
        <v>610</v>
      </c>
      <c r="C99" t="s">
        <v>1014</v>
      </c>
      <c r="D99" t="s">
        <v>1017</v>
      </c>
      <c r="E99">
        <v>4219</v>
      </c>
      <c r="F99">
        <v>0</v>
      </c>
      <c r="G99" t="s">
        <v>1022</v>
      </c>
      <c r="H99" s="3">
        <v>45544</v>
      </c>
      <c r="I99" s="3">
        <v>45208</v>
      </c>
      <c r="J99" s="3">
        <v>45436</v>
      </c>
      <c r="K99" t="s">
        <v>1025</v>
      </c>
      <c r="L99">
        <v>63</v>
      </c>
      <c r="M99">
        <v>13791</v>
      </c>
    </row>
    <row r="100" spans="1:13" x14ac:dyDescent="0.35">
      <c r="A100" t="s">
        <v>111</v>
      </c>
      <c r="B100" t="s">
        <v>611</v>
      </c>
      <c r="C100" t="s">
        <v>1016</v>
      </c>
      <c r="D100" t="s">
        <v>1018</v>
      </c>
      <c r="E100">
        <v>41809</v>
      </c>
      <c r="F100">
        <v>42365.81646902208</v>
      </c>
      <c r="G100" t="s">
        <v>1023</v>
      </c>
      <c r="H100" s="3">
        <v>45352</v>
      </c>
      <c r="I100" s="3">
        <v>45091</v>
      </c>
      <c r="J100" s="3">
        <v>45318</v>
      </c>
      <c r="K100" t="s">
        <v>1026</v>
      </c>
      <c r="L100">
        <v>23</v>
      </c>
      <c r="M100">
        <v>12743</v>
      </c>
    </row>
    <row r="101" spans="1:13" x14ac:dyDescent="0.35">
      <c r="A101" t="s">
        <v>112</v>
      </c>
      <c r="B101" t="s">
        <v>612</v>
      </c>
      <c r="C101" t="s">
        <v>1015</v>
      </c>
      <c r="D101" t="s">
        <v>1021</v>
      </c>
      <c r="E101">
        <v>7287</v>
      </c>
      <c r="F101">
        <v>32099.159216072479</v>
      </c>
      <c r="G101" t="s">
        <v>1022</v>
      </c>
      <c r="H101" s="3">
        <v>45513</v>
      </c>
      <c r="I101" s="3">
        <v>45012</v>
      </c>
      <c r="J101" s="3">
        <v>45494</v>
      </c>
      <c r="K101" t="s">
        <v>1026</v>
      </c>
      <c r="L101">
        <v>55</v>
      </c>
      <c r="M101">
        <v>7141</v>
      </c>
    </row>
    <row r="102" spans="1:13" x14ac:dyDescent="0.35">
      <c r="A102" t="s">
        <v>113</v>
      </c>
      <c r="B102" t="s">
        <v>613</v>
      </c>
      <c r="C102" t="s">
        <v>1013</v>
      </c>
      <c r="D102" t="s">
        <v>1017</v>
      </c>
      <c r="E102">
        <v>36387</v>
      </c>
      <c r="F102">
        <v>77176.396907679082</v>
      </c>
      <c r="G102" t="s">
        <v>1023</v>
      </c>
      <c r="H102" s="3">
        <v>45303</v>
      </c>
      <c r="I102" s="3">
        <v>45030</v>
      </c>
      <c r="J102" s="3">
        <v>45320</v>
      </c>
      <c r="K102" t="s">
        <v>1025</v>
      </c>
      <c r="L102">
        <v>37</v>
      </c>
      <c r="M102">
        <v>14500</v>
      </c>
    </row>
    <row r="103" spans="1:13" x14ac:dyDescent="0.35">
      <c r="A103" t="s">
        <v>114</v>
      </c>
      <c r="B103" t="s">
        <v>614</v>
      </c>
      <c r="C103" t="s">
        <v>1016</v>
      </c>
      <c r="D103" t="s">
        <v>1021</v>
      </c>
      <c r="E103">
        <v>10512</v>
      </c>
      <c r="F103">
        <v>7566.8659085761883</v>
      </c>
      <c r="G103" t="s">
        <v>1024</v>
      </c>
      <c r="H103" s="3">
        <v>45322</v>
      </c>
      <c r="I103" s="3">
        <v>45224</v>
      </c>
      <c r="J103" s="3">
        <v>45497</v>
      </c>
      <c r="K103" t="s">
        <v>1025</v>
      </c>
      <c r="L103">
        <v>34</v>
      </c>
      <c r="M103">
        <v>10501</v>
      </c>
    </row>
    <row r="104" spans="1:13" x14ac:dyDescent="0.35">
      <c r="A104" t="s">
        <v>115</v>
      </c>
      <c r="B104" t="s">
        <v>615</v>
      </c>
      <c r="C104" t="s">
        <v>1016</v>
      </c>
      <c r="D104" t="s">
        <v>1020</v>
      </c>
      <c r="E104">
        <v>3342</v>
      </c>
      <c r="F104">
        <v>38161.031034175146</v>
      </c>
      <c r="G104" t="s">
        <v>1023</v>
      </c>
      <c r="H104" s="3">
        <v>45547</v>
      </c>
      <c r="I104" s="3">
        <v>45114</v>
      </c>
      <c r="J104" s="3">
        <v>45607</v>
      </c>
      <c r="K104" t="s">
        <v>1026</v>
      </c>
      <c r="L104">
        <v>32</v>
      </c>
      <c r="M104">
        <v>4708</v>
      </c>
    </row>
    <row r="105" spans="1:13" x14ac:dyDescent="0.35">
      <c r="A105" t="s">
        <v>116</v>
      </c>
      <c r="B105" t="s">
        <v>616</v>
      </c>
      <c r="C105" t="s">
        <v>1014</v>
      </c>
      <c r="D105" t="s">
        <v>1020</v>
      </c>
      <c r="E105">
        <v>65076</v>
      </c>
      <c r="F105">
        <v>55730.278152426363</v>
      </c>
      <c r="G105" t="s">
        <v>1023</v>
      </c>
      <c r="H105" s="3">
        <v>45508</v>
      </c>
      <c r="I105" s="3">
        <v>45038</v>
      </c>
      <c r="J105" s="3">
        <v>45490</v>
      </c>
      <c r="K105" t="s">
        <v>1025</v>
      </c>
      <c r="L105">
        <v>38</v>
      </c>
      <c r="M105">
        <v>3991</v>
      </c>
    </row>
    <row r="106" spans="1:13" x14ac:dyDescent="0.35">
      <c r="A106" t="s">
        <v>117</v>
      </c>
      <c r="B106" t="s">
        <v>617</v>
      </c>
      <c r="C106" t="s">
        <v>1016</v>
      </c>
      <c r="D106" t="s">
        <v>1017</v>
      </c>
      <c r="E106">
        <v>21216</v>
      </c>
      <c r="F106">
        <v>15846.30925732196</v>
      </c>
      <c r="G106" t="s">
        <v>1023</v>
      </c>
      <c r="H106" s="3">
        <v>45435</v>
      </c>
      <c r="I106" s="3">
        <v>45200</v>
      </c>
      <c r="J106" s="3">
        <v>45324</v>
      </c>
      <c r="K106" t="s">
        <v>1026</v>
      </c>
      <c r="L106">
        <v>68</v>
      </c>
      <c r="M106">
        <v>10463</v>
      </c>
    </row>
    <row r="107" spans="1:13" x14ac:dyDescent="0.35">
      <c r="A107" t="s">
        <v>118</v>
      </c>
      <c r="B107" t="s">
        <v>618</v>
      </c>
      <c r="C107" t="s">
        <v>1016</v>
      </c>
      <c r="D107" t="s">
        <v>1021</v>
      </c>
      <c r="E107">
        <v>95070</v>
      </c>
      <c r="F107">
        <v>8178.7919832370744</v>
      </c>
      <c r="G107" t="s">
        <v>1023</v>
      </c>
      <c r="H107" s="3">
        <v>45396</v>
      </c>
      <c r="I107" s="3">
        <v>44988</v>
      </c>
      <c r="J107" s="3">
        <v>45543</v>
      </c>
      <c r="K107" t="s">
        <v>1025</v>
      </c>
      <c r="L107">
        <v>25</v>
      </c>
      <c r="M107">
        <v>13834</v>
      </c>
    </row>
    <row r="108" spans="1:13" x14ac:dyDescent="0.35">
      <c r="A108" t="s">
        <v>119</v>
      </c>
      <c r="B108" t="s">
        <v>619</v>
      </c>
      <c r="C108" t="s">
        <v>1016</v>
      </c>
      <c r="D108" t="s">
        <v>1018</v>
      </c>
      <c r="E108">
        <v>81767</v>
      </c>
      <c r="F108">
        <v>19419.66361659898</v>
      </c>
      <c r="G108" t="s">
        <v>1022</v>
      </c>
      <c r="H108" s="3">
        <v>45337</v>
      </c>
      <c r="I108" s="3">
        <v>45168</v>
      </c>
      <c r="J108" s="3">
        <v>45334</v>
      </c>
      <c r="K108" t="s">
        <v>1026</v>
      </c>
      <c r="L108">
        <v>67</v>
      </c>
      <c r="M108">
        <v>14278</v>
      </c>
    </row>
    <row r="109" spans="1:13" x14ac:dyDescent="0.35">
      <c r="A109" t="s">
        <v>120</v>
      </c>
      <c r="B109" t="s">
        <v>620</v>
      </c>
      <c r="C109" t="s">
        <v>1014</v>
      </c>
      <c r="D109" t="s">
        <v>1017</v>
      </c>
      <c r="E109">
        <v>99829</v>
      </c>
      <c r="F109">
        <v>50661.348801355824</v>
      </c>
      <c r="G109" t="s">
        <v>1024</v>
      </c>
      <c r="H109" s="3">
        <v>45518</v>
      </c>
      <c r="I109" s="3">
        <v>45188</v>
      </c>
      <c r="J109" s="3">
        <v>45453</v>
      </c>
      <c r="K109" t="s">
        <v>1026</v>
      </c>
      <c r="L109">
        <v>31</v>
      </c>
      <c r="M109">
        <v>12014</v>
      </c>
    </row>
    <row r="110" spans="1:13" x14ac:dyDescent="0.35">
      <c r="A110" t="s">
        <v>121</v>
      </c>
      <c r="B110" t="s">
        <v>621</v>
      </c>
      <c r="C110" t="s">
        <v>1016</v>
      </c>
      <c r="D110" t="s">
        <v>1020</v>
      </c>
      <c r="E110">
        <v>28614</v>
      </c>
      <c r="F110">
        <v>0</v>
      </c>
      <c r="G110" t="s">
        <v>1023</v>
      </c>
      <c r="H110" s="3">
        <v>45503</v>
      </c>
      <c r="I110" s="3">
        <v>45067</v>
      </c>
      <c r="J110" s="3">
        <v>45337</v>
      </c>
      <c r="K110" t="s">
        <v>1026</v>
      </c>
      <c r="L110">
        <v>56</v>
      </c>
      <c r="M110">
        <v>5273</v>
      </c>
    </row>
    <row r="111" spans="1:13" x14ac:dyDescent="0.35">
      <c r="A111" t="s">
        <v>122</v>
      </c>
      <c r="B111" t="s">
        <v>622</v>
      </c>
      <c r="C111" t="s">
        <v>1013</v>
      </c>
      <c r="D111" t="s">
        <v>1020</v>
      </c>
      <c r="E111">
        <v>38258</v>
      </c>
      <c r="F111">
        <v>63727.504827433717</v>
      </c>
      <c r="G111" t="s">
        <v>1023</v>
      </c>
      <c r="H111" s="3">
        <v>45582</v>
      </c>
      <c r="I111" s="3">
        <v>45104</v>
      </c>
      <c r="J111" s="3">
        <v>45527</v>
      </c>
      <c r="K111" t="s">
        <v>1026</v>
      </c>
      <c r="L111">
        <v>36</v>
      </c>
      <c r="M111">
        <v>6538</v>
      </c>
    </row>
    <row r="112" spans="1:13" x14ac:dyDescent="0.35">
      <c r="A112" t="s">
        <v>123</v>
      </c>
      <c r="B112" t="s">
        <v>623</v>
      </c>
      <c r="C112" t="s">
        <v>1014</v>
      </c>
      <c r="D112" t="s">
        <v>1017</v>
      </c>
      <c r="E112">
        <v>95789</v>
      </c>
      <c r="F112">
        <v>42973.783261150384</v>
      </c>
      <c r="G112" t="s">
        <v>1022</v>
      </c>
      <c r="H112" s="3">
        <v>45470</v>
      </c>
      <c r="I112" s="3">
        <v>45234</v>
      </c>
      <c r="J112" s="3">
        <v>45644</v>
      </c>
      <c r="K112" t="s">
        <v>1025</v>
      </c>
      <c r="L112">
        <v>42</v>
      </c>
      <c r="M112">
        <v>14541</v>
      </c>
    </row>
    <row r="113" spans="1:13" x14ac:dyDescent="0.35">
      <c r="A113" t="s">
        <v>124</v>
      </c>
      <c r="B113" t="s">
        <v>624</v>
      </c>
      <c r="C113" t="s">
        <v>1013</v>
      </c>
      <c r="D113" t="s">
        <v>1021</v>
      </c>
      <c r="E113">
        <v>44078</v>
      </c>
      <c r="F113">
        <v>0</v>
      </c>
      <c r="G113" t="s">
        <v>1022</v>
      </c>
      <c r="H113" s="3">
        <v>45308</v>
      </c>
      <c r="I113" s="3">
        <v>45235</v>
      </c>
      <c r="J113" s="3">
        <v>45330</v>
      </c>
      <c r="K113" t="s">
        <v>1025</v>
      </c>
      <c r="L113">
        <v>45</v>
      </c>
      <c r="M113">
        <v>10712</v>
      </c>
    </row>
    <row r="114" spans="1:13" x14ac:dyDescent="0.35">
      <c r="A114" t="s">
        <v>125</v>
      </c>
      <c r="B114" t="s">
        <v>625</v>
      </c>
      <c r="C114" t="s">
        <v>1014</v>
      </c>
      <c r="D114" t="s">
        <v>1020</v>
      </c>
      <c r="E114">
        <v>85524</v>
      </c>
      <c r="F114">
        <v>34313.926662477912</v>
      </c>
      <c r="G114" t="s">
        <v>1023</v>
      </c>
      <c r="H114" s="3">
        <v>45510</v>
      </c>
      <c r="I114" s="3">
        <v>45268</v>
      </c>
      <c r="J114" s="3">
        <v>45467</v>
      </c>
      <c r="K114" t="s">
        <v>1026</v>
      </c>
      <c r="L114">
        <v>48</v>
      </c>
      <c r="M114">
        <v>11168</v>
      </c>
    </row>
    <row r="115" spans="1:13" x14ac:dyDescent="0.35">
      <c r="A115" t="s">
        <v>126</v>
      </c>
      <c r="B115" t="s">
        <v>626</v>
      </c>
      <c r="C115" t="s">
        <v>1016</v>
      </c>
      <c r="D115" t="s">
        <v>1021</v>
      </c>
      <c r="E115">
        <v>98573</v>
      </c>
      <c r="F115">
        <v>50589.193792504491</v>
      </c>
      <c r="G115" t="s">
        <v>1023</v>
      </c>
      <c r="H115" s="3">
        <v>45347</v>
      </c>
      <c r="I115" s="3">
        <v>45074</v>
      </c>
      <c r="J115" s="3">
        <v>45499</v>
      </c>
      <c r="K115" t="s">
        <v>1026</v>
      </c>
      <c r="L115">
        <v>52</v>
      </c>
      <c r="M115">
        <v>5722</v>
      </c>
    </row>
    <row r="116" spans="1:13" x14ac:dyDescent="0.35">
      <c r="A116" t="s">
        <v>127</v>
      </c>
      <c r="B116" t="s">
        <v>627</v>
      </c>
      <c r="C116" t="s">
        <v>1013</v>
      </c>
      <c r="D116" t="s">
        <v>1020</v>
      </c>
      <c r="E116">
        <v>14219</v>
      </c>
      <c r="F116">
        <v>22866.98703830158</v>
      </c>
      <c r="G116" t="s">
        <v>1023</v>
      </c>
      <c r="H116" s="3">
        <v>45370</v>
      </c>
      <c r="I116" s="3">
        <v>45002</v>
      </c>
      <c r="J116" s="3">
        <v>45372</v>
      </c>
      <c r="K116" t="s">
        <v>1025</v>
      </c>
      <c r="L116">
        <v>46</v>
      </c>
      <c r="M116">
        <v>5551</v>
      </c>
    </row>
    <row r="117" spans="1:13" x14ac:dyDescent="0.35">
      <c r="A117" t="s">
        <v>128</v>
      </c>
      <c r="B117" t="s">
        <v>628</v>
      </c>
      <c r="C117" t="s">
        <v>1014</v>
      </c>
      <c r="D117" t="s">
        <v>1020</v>
      </c>
      <c r="E117">
        <v>2235</v>
      </c>
      <c r="F117">
        <v>48959.392668540808</v>
      </c>
      <c r="G117" t="s">
        <v>1023</v>
      </c>
      <c r="H117" s="3">
        <v>45380</v>
      </c>
      <c r="I117" s="3">
        <v>44959</v>
      </c>
      <c r="J117" s="3">
        <v>45439</v>
      </c>
      <c r="K117" t="s">
        <v>1025</v>
      </c>
      <c r="L117">
        <v>44</v>
      </c>
      <c r="M117">
        <v>14297</v>
      </c>
    </row>
    <row r="118" spans="1:13" x14ac:dyDescent="0.35">
      <c r="A118" t="s">
        <v>129</v>
      </c>
      <c r="B118" t="s">
        <v>629</v>
      </c>
      <c r="C118" t="s">
        <v>1015</v>
      </c>
      <c r="D118" t="s">
        <v>1019</v>
      </c>
      <c r="E118">
        <v>44929</v>
      </c>
      <c r="F118">
        <v>20465.146288192522</v>
      </c>
      <c r="G118" t="s">
        <v>1023</v>
      </c>
      <c r="H118" s="3">
        <v>45382</v>
      </c>
      <c r="I118" s="3">
        <v>44990</v>
      </c>
      <c r="J118" s="3">
        <v>45557</v>
      </c>
      <c r="K118" t="s">
        <v>1025</v>
      </c>
      <c r="L118">
        <v>29</v>
      </c>
      <c r="M118">
        <v>12965</v>
      </c>
    </row>
    <row r="119" spans="1:13" x14ac:dyDescent="0.35">
      <c r="A119" t="s">
        <v>130</v>
      </c>
      <c r="B119" t="s">
        <v>630</v>
      </c>
      <c r="C119" t="s">
        <v>1016</v>
      </c>
      <c r="D119" t="s">
        <v>1020</v>
      </c>
      <c r="E119">
        <v>69444</v>
      </c>
      <c r="F119">
        <v>0</v>
      </c>
      <c r="G119" t="s">
        <v>1023</v>
      </c>
      <c r="H119" s="3">
        <v>45497</v>
      </c>
      <c r="I119" s="3">
        <v>44955</v>
      </c>
      <c r="J119" s="3">
        <v>45377</v>
      </c>
      <c r="K119" t="s">
        <v>1025</v>
      </c>
      <c r="L119">
        <v>66</v>
      </c>
      <c r="M119">
        <v>12744</v>
      </c>
    </row>
    <row r="120" spans="1:13" x14ac:dyDescent="0.35">
      <c r="A120" t="s">
        <v>131</v>
      </c>
      <c r="B120" t="s">
        <v>631</v>
      </c>
      <c r="C120" t="s">
        <v>1014</v>
      </c>
      <c r="D120" t="s">
        <v>1018</v>
      </c>
      <c r="E120">
        <v>10567</v>
      </c>
      <c r="F120">
        <v>48779.546597472137</v>
      </c>
      <c r="G120" t="s">
        <v>1023</v>
      </c>
      <c r="H120" s="3">
        <v>45399</v>
      </c>
      <c r="I120" s="3">
        <v>45117</v>
      </c>
      <c r="J120" s="3">
        <v>45391</v>
      </c>
      <c r="K120" t="s">
        <v>1025</v>
      </c>
      <c r="L120">
        <v>42</v>
      </c>
      <c r="M120">
        <v>4832</v>
      </c>
    </row>
    <row r="121" spans="1:13" x14ac:dyDescent="0.35">
      <c r="A121" t="s">
        <v>132</v>
      </c>
      <c r="B121" t="s">
        <v>632</v>
      </c>
      <c r="C121" t="s">
        <v>1015</v>
      </c>
      <c r="D121" t="s">
        <v>1017</v>
      </c>
      <c r="E121">
        <v>72792</v>
      </c>
      <c r="F121">
        <v>14495.887596801849</v>
      </c>
      <c r="G121" t="s">
        <v>1022</v>
      </c>
      <c r="H121" s="3">
        <v>45328</v>
      </c>
      <c r="I121" s="3">
        <v>44947</v>
      </c>
      <c r="J121" s="3">
        <v>45406</v>
      </c>
      <c r="K121" t="s">
        <v>1025</v>
      </c>
      <c r="L121">
        <v>40</v>
      </c>
      <c r="M121">
        <v>14099</v>
      </c>
    </row>
    <row r="122" spans="1:13" x14ac:dyDescent="0.35">
      <c r="A122" t="s">
        <v>133</v>
      </c>
      <c r="B122" t="s">
        <v>633</v>
      </c>
      <c r="C122" t="s">
        <v>1014</v>
      </c>
      <c r="D122" t="s">
        <v>1017</v>
      </c>
      <c r="E122">
        <v>67441</v>
      </c>
      <c r="F122">
        <v>43848.68906785921</v>
      </c>
      <c r="G122" t="s">
        <v>1023</v>
      </c>
      <c r="H122" s="3">
        <v>45294</v>
      </c>
      <c r="I122" s="3">
        <v>45268</v>
      </c>
      <c r="J122" s="3">
        <v>45469</v>
      </c>
      <c r="K122" t="s">
        <v>1026</v>
      </c>
      <c r="L122">
        <v>40</v>
      </c>
      <c r="M122">
        <v>7679</v>
      </c>
    </row>
    <row r="123" spans="1:13" x14ac:dyDescent="0.35">
      <c r="A123" t="s">
        <v>134</v>
      </c>
      <c r="B123" t="s">
        <v>634</v>
      </c>
      <c r="C123" t="s">
        <v>1015</v>
      </c>
      <c r="D123" t="s">
        <v>1021</v>
      </c>
      <c r="E123">
        <v>86555</v>
      </c>
      <c r="F123">
        <v>0</v>
      </c>
      <c r="G123" t="s">
        <v>1023</v>
      </c>
      <c r="H123" s="3">
        <v>45452</v>
      </c>
      <c r="I123" s="3">
        <v>45135</v>
      </c>
      <c r="J123" s="3">
        <v>45372</v>
      </c>
      <c r="K123" t="s">
        <v>1025</v>
      </c>
      <c r="L123">
        <v>62</v>
      </c>
      <c r="M123">
        <v>8579</v>
      </c>
    </row>
    <row r="124" spans="1:13" x14ac:dyDescent="0.35">
      <c r="A124" t="s">
        <v>135</v>
      </c>
      <c r="B124" t="s">
        <v>635</v>
      </c>
      <c r="C124" t="s">
        <v>1016</v>
      </c>
      <c r="D124" t="s">
        <v>1020</v>
      </c>
      <c r="E124">
        <v>75698</v>
      </c>
      <c r="F124">
        <v>24879.846540345839</v>
      </c>
      <c r="G124" t="s">
        <v>1023</v>
      </c>
      <c r="H124" s="3">
        <v>45426</v>
      </c>
      <c r="I124" s="3">
        <v>45271</v>
      </c>
      <c r="J124" s="3">
        <v>45623</v>
      </c>
      <c r="K124" t="s">
        <v>1025</v>
      </c>
      <c r="L124">
        <v>32</v>
      </c>
      <c r="M124">
        <v>2152</v>
      </c>
    </row>
    <row r="125" spans="1:13" x14ac:dyDescent="0.35">
      <c r="A125" t="s">
        <v>136</v>
      </c>
      <c r="B125" t="s">
        <v>636</v>
      </c>
      <c r="C125" t="s">
        <v>1013</v>
      </c>
      <c r="D125" t="s">
        <v>1018</v>
      </c>
      <c r="E125">
        <v>7415</v>
      </c>
      <c r="F125">
        <v>18171.26164553834</v>
      </c>
      <c r="G125" t="s">
        <v>1023</v>
      </c>
      <c r="H125" s="3">
        <v>45488</v>
      </c>
      <c r="I125" s="3">
        <v>45058</v>
      </c>
      <c r="J125" s="3">
        <v>45565</v>
      </c>
      <c r="K125" t="s">
        <v>1026</v>
      </c>
      <c r="L125">
        <v>56</v>
      </c>
      <c r="M125">
        <v>7754</v>
      </c>
    </row>
    <row r="126" spans="1:13" x14ac:dyDescent="0.35">
      <c r="A126" t="s">
        <v>137</v>
      </c>
      <c r="B126" t="s">
        <v>637</v>
      </c>
      <c r="C126" t="s">
        <v>1015</v>
      </c>
      <c r="D126" t="s">
        <v>1021</v>
      </c>
      <c r="E126">
        <v>38159</v>
      </c>
      <c r="F126">
        <v>33186.029785563587</v>
      </c>
      <c r="G126" t="s">
        <v>1023</v>
      </c>
      <c r="H126" s="3">
        <v>45490</v>
      </c>
      <c r="I126" s="3">
        <v>45032</v>
      </c>
      <c r="J126" s="3">
        <v>45368</v>
      </c>
      <c r="K126" t="s">
        <v>1025</v>
      </c>
      <c r="L126">
        <v>52</v>
      </c>
      <c r="M126">
        <v>13156</v>
      </c>
    </row>
    <row r="127" spans="1:13" x14ac:dyDescent="0.35">
      <c r="A127" t="s">
        <v>138</v>
      </c>
      <c r="B127" t="s">
        <v>638</v>
      </c>
      <c r="C127" t="s">
        <v>1014</v>
      </c>
      <c r="D127" t="s">
        <v>1019</v>
      </c>
      <c r="E127">
        <v>45925</v>
      </c>
      <c r="F127">
        <v>17347.151496284499</v>
      </c>
      <c r="G127" t="s">
        <v>1023</v>
      </c>
      <c r="H127" s="3">
        <v>45562</v>
      </c>
      <c r="I127" s="3">
        <v>45285</v>
      </c>
      <c r="J127" s="3">
        <v>45509</v>
      </c>
      <c r="K127" t="s">
        <v>1025</v>
      </c>
      <c r="L127">
        <v>43</v>
      </c>
      <c r="M127">
        <v>13108</v>
      </c>
    </row>
    <row r="128" spans="1:13" x14ac:dyDescent="0.35">
      <c r="A128" t="s">
        <v>139</v>
      </c>
      <c r="B128" t="s">
        <v>639</v>
      </c>
      <c r="C128" t="s">
        <v>1016</v>
      </c>
      <c r="D128" t="s">
        <v>1021</v>
      </c>
      <c r="E128">
        <v>7951</v>
      </c>
      <c r="F128">
        <v>48479.28751503746</v>
      </c>
      <c r="G128" t="s">
        <v>1023</v>
      </c>
      <c r="H128" s="3">
        <v>45378</v>
      </c>
      <c r="I128" s="3">
        <v>45146</v>
      </c>
      <c r="J128" s="3">
        <v>45586</v>
      </c>
      <c r="K128" t="s">
        <v>1025</v>
      </c>
      <c r="L128">
        <v>63</v>
      </c>
      <c r="M128">
        <v>4800</v>
      </c>
    </row>
    <row r="129" spans="1:13" x14ac:dyDescent="0.35">
      <c r="A129" t="s">
        <v>140</v>
      </c>
      <c r="B129" t="s">
        <v>640</v>
      </c>
      <c r="C129" t="s">
        <v>1015</v>
      </c>
      <c r="D129" t="s">
        <v>1021</v>
      </c>
      <c r="E129">
        <v>89388</v>
      </c>
      <c r="F129">
        <v>40905.211134059427</v>
      </c>
      <c r="G129" t="s">
        <v>1023</v>
      </c>
      <c r="H129" s="3">
        <v>45327</v>
      </c>
      <c r="I129" s="3">
        <v>45154</v>
      </c>
      <c r="J129" s="3">
        <v>45445</v>
      </c>
      <c r="K129" t="s">
        <v>1025</v>
      </c>
      <c r="L129">
        <v>30</v>
      </c>
      <c r="M129">
        <v>7310</v>
      </c>
    </row>
    <row r="130" spans="1:13" x14ac:dyDescent="0.35">
      <c r="A130" t="s">
        <v>141</v>
      </c>
      <c r="B130" t="s">
        <v>641</v>
      </c>
      <c r="C130" t="s">
        <v>1014</v>
      </c>
      <c r="D130" t="s">
        <v>1020</v>
      </c>
      <c r="E130">
        <v>10007</v>
      </c>
      <c r="F130">
        <v>42711.189923262653</v>
      </c>
      <c r="G130" t="s">
        <v>1023</v>
      </c>
      <c r="H130" s="3">
        <v>45292</v>
      </c>
      <c r="I130" s="3">
        <v>45033</v>
      </c>
      <c r="J130" s="3">
        <v>45354</v>
      </c>
      <c r="K130" t="s">
        <v>1025</v>
      </c>
      <c r="L130">
        <v>36</v>
      </c>
      <c r="M130">
        <v>11944</v>
      </c>
    </row>
    <row r="131" spans="1:13" x14ac:dyDescent="0.35">
      <c r="A131" t="s">
        <v>142</v>
      </c>
      <c r="B131" t="s">
        <v>642</v>
      </c>
      <c r="C131" t="s">
        <v>1014</v>
      </c>
      <c r="D131" t="s">
        <v>1019</v>
      </c>
      <c r="E131">
        <v>43832</v>
      </c>
      <c r="F131">
        <v>55990.231980352219</v>
      </c>
      <c r="G131" t="s">
        <v>1023</v>
      </c>
      <c r="H131" s="3">
        <v>45443</v>
      </c>
      <c r="I131" s="3">
        <v>45087</v>
      </c>
      <c r="J131" s="3">
        <v>45460</v>
      </c>
      <c r="K131" t="s">
        <v>1026</v>
      </c>
      <c r="L131">
        <v>23</v>
      </c>
      <c r="M131">
        <v>4610</v>
      </c>
    </row>
    <row r="132" spans="1:13" x14ac:dyDescent="0.35">
      <c r="A132" t="s">
        <v>143</v>
      </c>
      <c r="B132" t="s">
        <v>643</v>
      </c>
      <c r="C132" t="s">
        <v>1014</v>
      </c>
      <c r="D132" t="s">
        <v>1021</v>
      </c>
      <c r="E132">
        <v>60596</v>
      </c>
      <c r="F132">
        <v>0</v>
      </c>
      <c r="G132" t="s">
        <v>1022</v>
      </c>
      <c r="H132" s="3">
        <v>45582</v>
      </c>
      <c r="I132" s="3">
        <v>45273</v>
      </c>
      <c r="J132" s="3">
        <v>45372</v>
      </c>
      <c r="K132" t="s">
        <v>1025</v>
      </c>
      <c r="L132">
        <v>66</v>
      </c>
      <c r="M132">
        <v>14067</v>
      </c>
    </row>
    <row r="133" spans="1:13" x14ac:dyDescent="0.35">
      <c r="A133" t="s">
        <v>144</v>
      </c>
      <c r="B133" t="s">
        <v>644</v>
      </c>
      <c r="C133" t="s">
        <v>1015</v>
      </c>
      <c r="D133" t="s">
        <v>1018</v>
      </c>
      <c r="E133">
        <v>32523</v>
      </c>
      <c r="F133">
        <v>28622.93730564103</v>
      </c>
      <c r="G133" t="s">
        <v>1023</v>
      </c>
      <c r="H133" s="3">
        <v>45479</v>
      </c>
      <c r="I133" s="3">
        <v>45225</v>
      </c>
      <c r="J133" s="3">
        <v>45635</v>
      </c>
      <c r="K133" t="s">
        <v>1026</v>
      </c>
      <c r="L133">
        <v>44</v>
      </c>
      <c r="M133">
        <v>3104</v>
      </c>
    </row>
    <row r="134" spans="1:13" x14ac:dyDescent="0.35">
      <c r="A134" t="s">
        <v>145</v>
      </c>
      <c r="B134" t="s">
        <v>645</v>
      </c>
      <c r="C134" t="s">
        <v>1015</v>
      </c>
      <c r="D134" t="s">
        <v>1018</v>
      </c>
      <c r="E134">
        <v>90861</v>
      </c>
      <c r="F134">
        <v>49299.806381046903</v>
      </c>
      <c r="G134" t="s">
        <v>1022</v>
      </c>
      <c r="H134" s="3">
        <v>45402</v>
      </c>
      <c r="I134" s="3">
        <v>45277</v>
      </c>
      <c r="J134" s="3">
        <v>45578</v>
      </c>
      <c r="K134" t="s">
        <v>1026</v>
      </c>
      <c r="L134">
        <v>49</v>
      </c>
      <c r="M134">
        <v>12728</v>
      </c>
    </row>
    <row r="135" spans="1:13" x14ac:dyDescent="0.35">
      <c r="A135" t="s">
        <v>146</v>
      </c>
      <c r="B135" t="s">
        <v>646</v>
      </c>
      <c r="C135" t="s">
        <v>1015</v>
      </c>
      <c r="D135" t="s">
        <v>1017</v>
      </c>
      <c r="E135">
        <v>88740</v>
      </c>
      <c r="F135">
        <v>82755.863210734489</v>
      </c>
      <c r="G135" t="s">
        <v>1023</v>
      </c>
      <c r="H135" s="3">
        <v>45363</v>
      </c>
      <c r="I135" s="3">
        <v>45147</v>
      </c>
      <c r="J135" s="3">
        <v>45569</v>
      </c>
      <c r="K135" t="s">
        <v>1025</v>
      </c>
      <c r="L135">
        <v>28</v>
      </c>
      <c r="M135">
        <v>9361</v>
      </c>
    </row>
    <row r="136" spans="1:13" x14ac:dyDescent="0.35">
      <c r="A136" t="s">
        <v>147</v>
      </c>
      <c r="B136" t="s">
        <v>647</v>
      </c>
      <c r="C136" t="s">
        <v>1013</v>
      </c>
      <c r="D136" t="s">
        <v>1019</v>
      </c>
      <c r="E136">
        <v>17524</v>
      </c>
      <c r="F136">
        <v>60196.148789487539</v>
      </c>
      <c r="G136" t="s">
        <v>1023</v>
      </c>
      <c r="H136" s="3">
        <v>45456</v>
      </c>
      <c r="I136" s="3">
        <v>45037</v>
      </c>
      <c r="J136" s="3">
        <v>45605</v>
      </c>
      <c r="K136" t="s">
        <v>1026</v>
      </c>
      <c r="L136">
        <v>40</v>
      </c>
      <c r="M136">
        <v>6199</v>
      </c>
    </row>
    <row r="137" spans="1:13" x14ac:dyDescent="0.35">
      <c r="A137" t="s">
        <v>148</v>
      </c>
      <c r="B137" t="s">
        <v>648</v>
      </c>
      <c r="C137" t="s">
        <v>1015</v>
      </c>
      <c r="D137" t="s">
        <v>1019</v>
      </c>
      <c r="E137">
        <v>21282</v>
      </c>
      <c r="F137">
        <v>9067.1734071749324</v>
      </c>
      <c r="G137" t="s">
        <v>1023</v>
      </c>
      <c r="H137" s="3">
        <v>45457</v>
      </c>
      <c r="I137" s="3">
        <v>45053</v>
      </c>
      <c r="J137" s="3">
        <v>45316</v>
      </c>
      <c r="K137" t="s">
        <v>1025</v>
      </c>
      <c r="L137">
        <v>39</v>
      </c>
      <c r="M137">
        <v>5854</v>
      </c>
    </row>
    <row r="138" spans="1:13" x14ac:dyDescent="0.35">
      <c r="A138" t="s">
        <v>149</v>
      </c>
      <c r="B138" t="s">
        <v>649</v>
      </c>
      <c r="C138" t="s">
        <v>1015</v>
      </c>
      <c r="D138" t="s">
        <v>1017</v>
      </c>
      <c r="E138">
        <v>25930</v>
      </c>
      <c r="F138">
        <v>0</v>
      </c>
      <c r="G138" t="s">
        <v>1023</v>
      </c>
      <c r="H138" s="3">
        <v>45591</v>
      </c>
      <c r="I138" s="3">
        <v>45095</v>
      </c>
      <c r="J138" s="3">
        <v>45460</v>
      </c>
      <c r="K138" t="s">
        <v>1026</v>
      </c>
      <c r="L138">
        <v>38</v>
      </c>
      <c r="M138">
        <v>9263</v>
      </c>
    </row>
    <row r="139" spans="1:13" x14ac:dyDescent="0.35">
      <c r="A139" t="s">
        <v>150</v>
      </c>
      <c r="B139" t="s">
        <v>650</v>
      </c>
      <c r="C139" t="s">
        <v>1015</v>
      </c>
      <c r="D139" t="s">
        <v>1021</v>
      </c>
      <c r="E139">
        <v>2077</v>
      </c>
      <c r="F139">
        <v>25663.138766738601</v>
      </c>
      <c r="G139" t="s">
        <v>1022</v>
      </c>
      <c r="H139" s="3">
        <v>45523</v>
      </c>
      <c r="I139" s="3">
        <v>45025</v>
      </c>
      <c r="J139" s="3">
        <v>45510</v>
      </c>
      <c r="K139" t="s">
        <v>1026</v>
      </c>
      <c r="L139">
        <v>38</v>
      </c>
      <c r="M139">
        <v>13686</v>
      </c>
    </row>
    <row r="140" spans="1:13" x14ac:dyDescent="0.35">
      <c r="A140" t="s">
        <v>151</v>
      </c>
      <c r="B140" t="s">
        <v>651</v>
      </c>
      <c r="C140" t="s">
        <v>1013</v>
      </c>
      <c r="D140" t="s">
        <v>1019</v>
      </c>
      <c r="E140">
        <v>22611</v>
      </c>
      <c r="F140">
        <v>3965.794087534045</v>
      </c>
      <c r="G140" t="s">
        <v>1022</v>
      </c>
      <c r="H140" s="3">
        <v>45399</v>
      </c>
      <c r="I140" s="3">
        <v>44953</v>
      </c>
      <c r="J140" s="3">
        <v>45579</v>
      </c>
      <c r="K140" t="s">
        <v>1025</v>
      </c>
      <c r="L140">
        <v>31</v>
      </c>
      <c r="M140">
        <v>3914</v>
      </c>
    </row>
    <row r="141" spans="1:13" x14ac:dyDescent="0.35">
      <c r="A141" t="s">
        <v>152</v>
      </c>
      <c r="B141" t="s">
        <v>652</v>
      </c>
      <c r="C141" t="s">
        <v>1015</v>
      </c>
      <c r="D141" t="s">
        <v>1018</v>
      </c>
      <c r="E141">
        <v>18984</v>
      </c>
      <c r="F141">
        <v>7560.7605618836988</v>
      </c>
      <c r="G141" t="s">
        <v>1022</v>
      </c>
      <c r="H141" s="3">
        <v>45543</v>
      </c>
      <c r="I141" s="3">
        <v>45076</v>
      </c>
      <c r="J141" s="3">
        <v>45307</v>
      </c>
      <c r="K141" t="s">
        <v>1025</v>
      </c>
      <c r="L141">
        <v>56</v>
      </c>
      <c r="M141">
        <v>9365</v>
      </c>
    </row>
    <row r="142" spans="1:13" x14ac:dyDescent="0.35">
      <c r="A142" t="s">
        <v>153</v>
      </c>
      <c r="B142" t="s">
        <v>653</v>
      </c>
      <c r="C142" t="s">
        <v>1014</v>
      </c>
      <c r="D142" t="s">
        <v>1018</v>
      </c>
      <c r="E142">
        <v>16060</v>
      </c>
      <c r="F142">
        <v>9542.7163295856881</v>
      </c>
      <c r="G142" t="s">
        <v>1023</v>
      </c>
      <c r="H142" s="3">
        <v>45369</v>
      </c>
      <c r="I142" s="3">
        <v>45224</v>
      </c>
      <c r="J142" s="3">
        <v>45310</v>
      </c>
      <c r="K142" t="s">
        <v>1025</v>
      </c>
      <c r="L142">
        <v>61</v>
      </c>
      <c r="M142">
        <v>5072</v>
      </c>
    </row>
    <row r="143" spans="1:13" x14ac:dyDescent="0.35">
      <c r="A143" t="s">
        <v>154</v>
      </c>
      <c r="B143" t="s">
        <v>654</v>
      </c>
      <c r="C143" t="s">
        <v>1015</v>
      </c>
      <c r="D143" t="s">
        <v>1020</v>
      </c>
      <c r="E143">
        <v>84985</v>
      </c>
      <c r="F143">
        <v>17584.050807379412</v>
      </c>
      <c r="G143" t="s">
        <v>1023</v>
      </c>
      <c r="H143" s="3">
        <v>45326</v>
      </c>
      <c r="I143" s="3">
        <v>45009</v>
      </c>
      <c r="J143" s="3">
        <v>45329</v>
      </c>
      <c r="K143" t="s">
        <v>1025</v>
      </c>
      <c r="L143">
        <v>36</v>
      </c>
      <c r="M143">
        <v>11198</v>
      </c>
    </row>
    <row r="144" spans="1:13" x14ac:dyDescent="0.35">
      <c r="A144" t="s">
        <v>155</v>
      </c>
      <c r="B144" t="s">
        <v>655</v>
      </c>
      <c r="C144" t="s">
        <v>1014</v>
      </c>
      <c r="D144" t="s">
        <v>1019</v>
      </c>
      <c r="E144">
        <v>86056</v>
      </c>
      <c r="F144">
        <v>66095.125069000729</v>
      </c>
      <c r="G144" t="s">
        <v>1023</v>
      </c>
      <c r="H144" s="3">
        <v>45411</v>
      </c>
      <c r="I144" s="3">
        <v>44967</v>
      </c>
      <c r="J144" s="3">
        <v>45632</v>
      </c>
      <c r="K144" t="s">
        <v>1025</v>
      </c>
      <c r="L144">
        <v>56</v>
      </c>
      <c r="M144">
        <v>2406</v>
      </c>
    </row>
    <row r="145" spans="1:13" x14ac:dyDescent="0.35">
      <c r="A145" t="s">
        <v>156</v>
      </c>
      <c r="B145" t="s">
        <v>656</v>
      </c>
      <c r="C145" t="s">
        <v>1014</v>
      </c>
      <c r="D145" t="s">
        <v>1021</v>
      </c>
      <c r="E145">
        <v>45303</v>
      </c>
      <c r="F145">
        <v>3170.3378890821259</v>
      </c>
      <c r="G145" t="s">
        <v>1023</v>
      </c>
      <c r="H145" s="3">
        <v>45540</v>
      </c>
      <c r="I145" s="3">
        <v>45258</v>
      </c>
      <c r="J145" s="3">
        <v>45485</v>
      </c>
      <c r="K145" t="s">
        <v>1026</v>
      </c>
      <c r="L145">
        <v>67</v>
      </c>
      <c r="M145">
        <v>2166</v>
      </c>
    </row>
    <row r="146" spans="1:13" x14ac:dyDescent="0.35">
      <c r="A146" t="s">
        <v>157</v>
      </c>
      <c r="B146" t="s">
        <v>657</v>
      </c>
      <c r="C146" t="s">
        <v>1014</v>
      </c>
      <c r="D146" t="s">
        <v>1017</v>
      </c>
      <c r="E146">
        <v>61207</v>
      </c>
      <c r="F146">
        <v>33122.194953259299</v>
      </c>
      <c r="G146" t="s">
        <v>1023</v>
      </c>
      <c r="H146" s="3">
        <v>45505</v>
      </c>
      <c r="I146" s="3">
        <v>45268</v>
      </c>
      <c r="J146" s="3">
        <v>45498</v>
      </c>
      <c r="K146" t="s">
        <v>1026</v>
      </c>
      <c r="L146">
        <v>58</v>
      </c>
      <c r="M146">
        <v>2508</v>
      </c>
    </row>
    <row r="147" spans="1:13" x14ac:dyDescent="0.35">
      <c r="A147" t="s">
        <v>158</v>
      </c>
      <c r="B147" t="s">
        <v>658</v>
      </c>
      <c r="C147" t="s">
        <v>1013</v>
      </c>
      <c r="D147" t="s">
        <v>1017</v>
      </c>
      <c r="E147">
        <v>77046</v>
      </c>
      <c r="F147">
        <v>26437.840086588429</v>
      </c>
      <c r="G147" t="s">
        <v>1023</v>
      </c>
      <c r="H147" s="3">
        <v>45441</v>
      </c>
      <c r="I147" s="3">
        <v>45019</v>
      </c>
      <c r="J147" s="3">
        <v>45626</v>
      </c>
      <c r="K147" t="s">
        <v>1026</v>
      </c>
      <c r="L147">
        <v>47</v>
      </c>
      <c r="M147">
        <v>3661</v>
      </c>
    </row>
    <row r="148" spans="1:13" x14ac:dyDescent="0.35">
      <c r="A148" t="s">
        <v>159</v>
      </c>
      <c r="B148" t="s">
        <v>659</v>
      </c>
      <c r="C148" t="s">
        <v>1013</v>
      </c>
      <c r="D148" t="s">
        <v>1021</v>
      </c>
      <c r="E148">
        <v>31287</v>
      </c>
      <c r="F148">
        <v>28079.821000810109</v>
      </c>
      <c r="G148" t="s">
        <v>1023</v>
      </c>
      <c r="H148" s="3">
        <v>45333</v>
      </c>
      <c r="I148" s="3">
        <v>45052</v>
      </c>
      <c r="J148" s="3">
        <v>45653</v>
      </c>
      <c r="K148" t="s">
        <v>1026</v>
      </c>
      <c r="L148">
        <v>60</v>
      </c>
      <c r="M148">
        <v>5664</v>
      </c>
    </row>
    <row r="149" spans="1:13" x14ac:dyDescent="0.35">
      <c r="A149" t="s">
        <v>160</v>
      </c>
      <c r="B149" t="s">
        <v>660</v>
      </c>
      <c r="C149" t="s">
        <v>1013</v>
      </c>
      <c r="D149" t="s">
        <v>1020</v>
      </c>
      <c r="E149">
        <v>95709</v>
      </c>
      <c r="F149">
        <v>20014.394253862429</v>
      </c>
      <c r="G149" t="s">
        <v>1023</v>
      </c>
      <c r="H149" s="3">
        <v>45560</v>
      </c>
      <c r="I149" s="3">
        <v>45228</v>
      </c>
      <c r="J149" s="3">
        <v>45310</v>
      </c>
      <c r="K149" t="s">
        <v>1026</v>
      </c>
      <c r="L149">
        <v>54</v>
      </c>
      <c r="M149">
        <v>5489</v>
      </c>
    </row>
    <row r="150" spans="1:13" x14ac:dyDescent="0.35">
      <c r="A150" t="s">
        <v>161</v>
      </c>
      <c r="B150" t="s">
        <v>661</v>
      </c>
      <c r="C150" t="s">
        <v>1015</v>
      </c>
      <c r="D150" t="s">
        <v>1017</v>
      </c>
      <c r="E150">
        <v>41711</v>
      </c>
      <c r="F150">
        <v>31160.314986272751</v>
      </c>
      <c r="G150" t="s">
        <v>1022</v>
      </c>
      <c r="H150" s="3">
        <v>45466</v>
      </c>
      <c r="I150" s="3">
        <v>45160</v>
      </c>
      <c r="J150" s="3">
        <v>45481</v>
      </c>
      <c r="K150" t="s">
        <v>1026</v>
      </c>
      <c r="L150">
        <v>66</v>
      </c>
      <c r="M150">
        <v>2680</v>
      </c>
    </row>
    <row r="151" spans="1:13" x14ac:dyDescent="0.35">
      <c r="A151" t="s">
        <v>162</v>
      </c>
      <c r="B151" t="s">
        <v>662</v>
      </c>
      <c r="C151" t="s">
        <v>1014</v>
      </c>
      <c r="D151" t="s">
        <v>1019</v>
      </c>
      <c r="E151">
        <v>13954</v>
      </c>
      <c r="F151">
        <v>0</v>
      </c>
      <c r="G151" t="s">
        <v>1024</v>
      </c>
      <c r="H151" s="3">
        <v>45500</v>
      </c>
      <c r="I151" s="3">
        <v>45019</v>
      </c>
      <c r="J151" s="3">
        <v>45549</v>
      </c>
      <c r="K151" t="s">
        <v>1026</v>
      </c>
      <c r="L151">
        <v>67</v>
      </c>
      <c r="M151">
        <v>4524</v>
      </c>
    </row>
    <row r="152" spans="1:13" x14ac:dyDescent="0.35">
      <c r="A152" t="s">
        <v>163</v>
      </c>
      <c r="B152" t="s">
        <v>663</v>
      </c>
      <c r="C152" t="s">
        <v>1013</v>
      </c>
      <c r="D152" t="s">
        <v>1020</v>
      </c>
      <c r="E152">
        <v>75340</v>
      </c>
      <c r="F152">
        <v>40151.819809090877</v>
      </c>
      <c r="G152" t="s">
        <v>1024</v>
      </c>
      <c r="H152" s="3">
        <v>45553</v>
      </c>
      <c r="I152" s="3">
        <v>45114</v>
      </c>
      <c r="J152" s="3">
        <v>45410</v>
      </c>
      <c r="K152" t="s">
        <v>1025</v>
      </c>
      <c r="L152">
        <v>37</v>
      </c>
      <c r="M152">
        <v>4120</v>
      </c>
    </row>
    <row r="153" spans="1:13" x14ac:dyDescent="0.35">
      <c r="A153" t="s">
        <v>164</v>
      </c>
      <c r="B153" t="s">
        <v>664</v>
      </c>
      <c r="C153" t="s">
        <v>1013</v>
      </c>
      <c r="D153" t="s">
        <v>1019</v>
      </c>
      <c r="E153">
        <v>74101</v>
      </c>
      <c r="F153">
        <v>44748.510291018138</v>
      </c>
      <c r="G153" t="s">
        <v>1023</v>
      </c>
      <c r="H153" s="3">
        <v>45332</v>
      </c>
      <c r="I153" s="3">
        <v>44942</v>
      </c>
      <c r="J153" s="3">
        <v>45459</v>
      </c>
      <c r="K153" t="s">
        <v>1025</v>
      </c>
      <c r="L153">
        <v>33</v>
      </c>
      <c r="M153">
        <v>7260</v>
      </c>
    </row>
    <row r="154" spans="1:13" x14ac:dyDescent="0.35">
      <c r="A154" t="s">
        <v>165</v>
      </c>
      <c r="B154" t="s">
        <v>665</v>
      </c>
      <c r="C154" t="s">
        <v>1015</v>
      </c>
      <c r="D154" t="s">
        <v>1018</v>
      </c>
      <c r="E154">
        <v>73520</v>
      </c>
      <c r="F154">
        <v>81055.289175354788</v>
      </c>
      <c r="G154" t="s">
        <v>1023</v>
      </c>
      <c r="H154" s="3">
        <v>45449</v>
      </c>
      <c r="I154" s="3">
        <v>44930</v>
      </c>
      <c r="J154" s="3">
        <v>45523</v>
      </c>
      <c r="K154" t="s">
        <v>1026</v>
      </c>
      <c r="L154">
        <v>54</v>
      </c>
      <c r="M154">
        <v>14869</v>
      </c>
    </row>
    <row r="155" spans="1:13" x14ac:dyDescent="0.35">
      <c r="A155" t="s">
        <v>166</v>
      </c>
      <c r="B155" t="s">
        <v>666</v>
      </c>
      <c r="C155" t="s">
        <v>1013</v>
      </c>
      <c r="D155" t="s">
        <v>1020</v>
      </c>
      <c r="E155">
        <v>89062</v>
      </c>
      <c r="F155">
        <v>71228.549521769703</v>
      </c>
      <c r="G155" t="s">
        <v>1023</v>
      </c>
      <c r="H155" s="3">
        <v>45349</v>
      </c>
      <c r="I155" s="3">
        <v>45105</v>
      </c>
      <c r="J155" s="3">
        <v>45398</v>
      </c>
      <c r="K155" t="s">
        <v>1026</v>
      </c>
      <c r="L155">
        <v>63</v>
      </c>
      <c r="M155">
        <v>6357</v>
      </c>
    </row>
    <row r="156" spans="1:13" x14ac:dyDescent="0.35">
      <c r="A156" t="s">
        <v>167</v>
      </c>
      <c r="B156" t="s">
        <v>667</v>
      </c>
      <c r="C156" t="s">
        <v>1015</v>
      </c>
      <c r="D156" t="s">
        <v>1017</v>
      </c>
      <c r="E156">
        <v>20574</v>
      </c>
      <c r="F156">
        <v>27943.767962768088</v>
      </c>
      <c r="G156" t="s">
        <v>1022</v>
      </c>
      <c r="H156" s="3">
        <v>45486</v>
      </c>
      <c r="I156" s="3">
        <v>45009</v>
      </c>
      <c r="J156" s="3">
        <v>45399</v>
      </c>
      <c r="K156" t="s">
        <v>1025</v>
      </c>
      <c r="L156">
        <v>60</v>
      </c>
      <c r="M156">
        <v>3363</v>
      </c>
    </row>
    <row r="157" spans="1:13" x14ac:dyDescent="0.35">
      <c r="A157" t="s">
        <v>168</v>
      </c>
      <c r="B157" t="s">
        <v>668</v>
      </c>
      <c r="C157" t="s">
        <v>1016</v>
      </c>
      <c r="D157" t="s">
        <v>1020</v>
      </c>
      <c r="E157">
        <v>11184</v>
      </c>
      <c r="F157">
        <v>3851.2281049426228</v>
      </c>
      <c r="G157" t="s">
        <v>1023</v>
      </c>
      <c r="H157" s="3">
        <v>45584</v>
      </c>
      <c r="I157" s="3">
        <v>45236</v>
      </c>
      <c r="J157" s="3">
        <v>45645</v>
      </c>
      <c r="K157" t="s">
        <v>1025</v>
      </c>
      <c r="L157">
        <v>26</v>
      </c>
      <c r="M157">
        <v>11523</v>
      </c>
    </row>
    <row r="158" spans="1:13" x14ac:dyDescent="0.35">
      <c r="A158" t="s">
        <v>169</v>
      </c>
      <c r="B158" t="s">
        <v>669</v>
      </c>
      <c r="C158" t="s">
        <v>1013</v>
      </c>
      <c r="D158" t="s">
        <v>1020</v>
      </c>
      <c r="E158">
        <v>21096</v>
      </c>
      <c r="F158">
        <v>49820.916141991132</v>
      </c>
      <c r="G158" t="s">
        <v>1023</v>
      </c>
      <c r="H158" s="3">
        <v>45365</v>
      </c>
      <c r="I158" s="3">
        <v>44973</v>
      </c>
      <c r="J158" s="3">
        <v>45391</v>
      </c>
      <c r="K158" t="s">
        <v>1025</v>
      </c>
      <c r="L158">
        <v>60</v>
      </c>
      <c r="M158">
        <v>4292</v>
      </c>
    </row>
    <row r="159" spans="1:13" x14ac:dyDescent="0.35">
      <c r="A159" t="s">
        <v>170</v>
      </c>
      <c r="B159" t="s">
        <v>670</v>
      </c>
      <c r="C159" t="s">
        <v>1016</v>
      </c>
      <c r="D159" t="s">
        <v>1020</v>
      </c>
      <c r="E159">
        <v>69728</v>
      </c>
      <c r="F159">
        <v>89010.896133079499</v>
      </c>
      <c r="G159" t="s">
        <v>1022</v>
      </c>
      <c r="H159" s="3">
        <v>45582</v>
      </c>
      <c r="I159" s="3">
        <v>45211</v>
      </c>
      <c r="J159" s="3">
        <v>45645</v>
      </c>
      <c r="K159" t="s">
        <v>1025</v>
      </c>
      <c r="L159">
        <v>32</v>
      </c>
      <c r="M159">
        <v>3538</v>
      </c>
    </row>
    <row r="160" spans="1:13" x14ac:dyDescent="0.35">
      <c r="A160" t="s">
        <v>171</v>
      </c>
      <c r="B160" t="s">
        <v>671</v>
      </c>
      <c r="C160" t="s">
        <v>1015</v>
      </c>
      <c r="D160" t="s">
        <v>1020</v>
      </c>
      <c r="E160">
        <v>36016</v>
      </c>
      <c r="F160">
        <v>39520.45475707591</v>
      </c>
      <c r="G160" t="s">
        <v>1023</v>
      </c>
      <c r="H160" s="3">
        <v>45328</v>
      </c>
      <c r="I160" s="3">
        <v>45252</v>
      </c>
      <c r="J160" s="3">
        <v>45300</v>
      </c>
      <c r="K160" t="s">
        <v>1026</v>
      </c>
      <c r="L160">
        <v>37</v>
      </c>
      <c r="M160">
        <v>5408</v>
      </c>
    </row>
    <row r="161" spans="1:13" x14ac:dyDescent="0.35">
      <c r="A161" t="s">
        <v>172</v>
      </c>
      <c r="B161" t="s">
        <v>672</v>
      </c>
      <c r="C161" t="s">
        <v>1014</v>
      </c>
      <c r="D161" t="s">
        <v>1019</v>
      </c>
      <c r="E161">
        <v>13246</v>
      </c>
      <c r="F161">
        <v>75806.663976222451</v>
      </c>
      <c r="G161" t="s">
        <v>1023</v>
      </c>
      <c r="H161" s="3">
        <v>45348</v>
      </c>
      <c r="I161" s="3">
        <v>45070</v>
      </c>
      <c r="J161" s="3">
        <v>45571</v>
      </c>
      <c r="K161" t="s">
        <v>1025</v>
      </c>
      <c r="L161">
        <v>56</v>
      </c>
      <c r="M161">
        <v>9742</v>
      </c>
    </row>
    <row r="162" spans="1:13" x14ac:dyDescent="0.35">
      <c r="A162" t="s">
        <v>173</v>
      </c>
      <c r="B162" t="s">
        <v>673</v>
      </c>
      <c r="C162" t="s">
        <v>1013</v>
      </c>
      <c r="D162" t="s">
        <v>1018</v>
      </c>
      <c r="E162">
        <v>47558</v>
      </c>
      <c r="F162">
        <v>0</v>
      </c>
      <c r="G162" t="s">
        <v>1023</v>
      </c>
      <c r="H162" s="3">
        <v>45375</v>
      </c>
      <c r="I162" s="3">
        <v>45195</v>
      </c>
      <c r="J162" s="3">
        <v>45349</v>
      </c>
      <c r="K162" t="s">
        <v>1026</v>
      </c>
      <c r="L162">
        <v>32</v>
      </c>
      <c r="M162">
        <v>10752</v>
      </c>
    </row>
    <row r="163" spans="1:13" x14ac:dyDescent="0.35">
      <c r="A163" t="s">
        <v>174</v>
      </c>
      <c r="B163" t="s">
        <v>674</v>
      </c>
      <c r="C163" t="s">
        <v>1015</v>
      </c>
      <c r="D163" t="s">
        <v>1021</v>
      </c>
      <c r="E163">
        <v>20381</v>
      </c>
      <c r="F163">
        <v>63472.736152996367</v>
      </c>
      <c r="G163" t="s">
        <v>1023</v>
      </c>
      <c r="H163" s="3">
        <v>45472</v>
      </c>
      <c r="I163" s="3">
        <v>45256</v>
      </c>
      <c r="J163" s="3">
        <v>45434</v>
      </c>
      <c r="K163" t="s">
        <v>1026</v>
      </c>
      <c r="L163">
        <v>55</v>
      </c>
      <c r="M163">
        <v>11291</v>
      </c>
    </row>
    <row r="164" spans="1:13" x14ac:dyDescent="0.35">
      <c r="A164" t="s">
        <v>175</v>
      </c>
      <c r="B164" t="s">
        <v>675</v>
      </c>
      <c r="C164" t="s">
        <v>1014</v>
      </c>
      <c r="D164" t="s">
        <v>1020</v>
      </c>
      <c r="E164">
        <v>38455</v>
      </c>
      <c r="F164">
        <v>44196.417750717039</v>
      </c>
      <c r="G164" t="s">
        <v>1023</v>
      </c>
      <c r="H164" s="3">
        <v>45492</v>
      </c>
      <c r="I164" s="3">
        <v>45272</v>
      </c>
      <c r="J164" s="3">
        <v>45605</v>
      </c>
      <c r="K164" t="s">
        <v>1026</v>
      </c>
      <c r="L164">
        <v>50</v>
      </c>
      <c r="M164">
        <v>3903</v>
      </c>
    </row>
    <row r="165" spans="1:13" x14ac:dyDescent="0.35">
      <c r="A165" t="s">
        <v>176</v>
      </c>
      <c r="B165" t="s">
        <v>676</v>
      </c>
      <c r="C165" t="s">
        <v>1014</v>
      </c>
      <c r="D165" t="s">
        <v>1017</v>
      </c>
      <c r="E165">
        <v>94263</v>
      </c>
      <c r="F165">
        <v>51466.811868112323</v>
      </c>
      <c r="G165" t="s">
        <v>1023</v>
      </c>
      <c r="H165" s="3">
        <v>45330</v>
      </c>
      <c r="I165" s="3">
        <v>44957</v>
      </c>
      <c r="J165" s="3">
        <v>45552</v>
      </c>
      <c r="K165" t="s">
        <v>1025</v>
      </c>
      <c r="L165">
        <v>21</v>
      </c>
      <c r="M165">
        <v>2174</v>
      </c>
    </row>
    <row r="166" spans="1:13" x14ac:dyDescent="0.35">
      <c r="A166" t="s">
        <v>177</v>
      </c>
      <c r="B166" t="s">
        <v>677</v>
      </c>
      <c r="C166" t="s">
        <v>1016</v>
      </c>
      <c r="D166" t="s">
        <v>1020</v>
      </c>
      <c r="E166">
        <v>6018</v>
      </c>
      <c r="F166">
        <v>32462.857490163049</v>
      </c>
      <c r="G166" t="s">
        <v>1023</v>
      </c>
      <c r="H166" s="3">
        <v>45587</v>
      </c>
      <c r="I166" s="3">
        <v>44981</v>
      </c>
      <c r="J166" s="3">
        <v>45612</v>
      </c>
      <c r="K166" t="s">
        <v>1025</v>
      </c>
      <c r="L166">
        <v>35</v>
      </c>
      <c r="M166">
        <v>12348</v>
      </c>
    </row>
    <row r="167" spans="1:13" x14ac:dyDescent="0.35">
      <c r="A167" t="s">
        <v>178</v>
      </c>
      <c r="B167" t="s">
        <v>678</v>
      </c>
      <c r="C167" t="s">
        <v>1015</v>
      </c>
      <c r="D167" t="s">
        <v>1017</v>
      </c>
      <c r="E167">
        <v>13302</v>
      </c>
      <c r="F167">
        <v>1966.9983293660041</v>
      </c>
      <c r="G167" t="s">
        <v>1023</v>
      </c>
      <c r="H167" s="3">
        <v>45305</v>
      </c>
      <c r="I167" s="3">
        <v>45115</v>
      </c>
      <c r="J167" s="3">
        <v>45541</v>
      </c>
      <c r="K167" t="s">
        <v>1026</v>
      </c>
      <c r="L167">
        <v>28</v>
      </c>
      <c r="M167">
        <v>4230</v>
      </c>
    </row>
    <row r="168" spans="1:13" x14ac:dyDescent="0.35">
      <c r="A168" t="s">
        <v>179</v>
      </c>
      <c r="B168" t="s">
        <v>679</v>
      </c>
      <c r="C168" t="s">
        <v>1014</v>
      </c>
      <c r="D168" t="s">
        <v>1019</v>
      </c>
      <c r="E168">
        <v>69506</v>
      </c>
      <c r="F168">
        <v>48159.948406388627</v>
      </c>
      <c r="G168" t="s">
        <v>1022</v>
      </c>
      <c r="H168" s="3">
        <v>45555</v>
      </c>
      <c r="I168" s="3">
        <v>45125</v>
      </c>
      <c r="J168" s="3">
        <v>45364</v>
      </c>
      <c r="K168" t="s">
        <v>1026</v>
      </c>
      <c r="L168">
        <v>28</v>
      </c>
      <c r="M168">
        <v>6287</v>
      </c>
    </row>
    <row r="169" spans="1:13" x14ac:dyDescent="0.35">
      <c r="A169" t="s">
        <v>180</v>
      </c>
      <c r="B169" t="s">
        <v>680</v>
      </c>
      <c r="C169" t="s">
        <v>1013</v>
      </c>
      <c r="D169" t="s">
        <v>1017</v>
      </c>
      <c r="E169">
        <v>43157</v>
      </c>
      <c r="F169">
        <v>26725.60791062846</v>
      </c>
      <c r="G169" t="s">
        <v>1023</v>
      </c>
      <c r="H169" s="3">
        <v>45536</v>
      </c>
      <c r="I169" s="3">
        <v>45135</v>
      </c>
      <c r="J169" s="3">
        <v>45496</v>
      </c>
      <c r="K169" t="s">
        <v>1026</v>
      </c>
      <c r="L169">
        <v>57</v>
      </c>
      <c r="M169">
        <v>6160</v>
      </c>
    </row>
    <row r="170" spans="1:13" x14ac:dyDescent="0.35">
      <c r="A170" t="s">
        <v>181</v>
      </c>
      <c r="B170" t="s">
        <v>681</v>
      </c>
      <c r="C170" t="s">
        <v>1013</v>
      </c>
      <c r="D170" t="s">
        <v>1021</v>
      </c>
      <c r="E170">
        <v>56917</v>
      </c>
      <c r="F170">
        <v>23108.488466763429</v>
      </c>
      <c r="G170" t="s">
        <v>1023</v>
      </c>
      <c r="H170" s="3">
        <v>45440</v>
      </c>
      <c r="I170" s="3">
        <v>45212</v>
      </c>
      <c r="J170" s="3">
        <v>45419</v>
      </c>
      <c r="K170" t="s">
        <v>1025</v>
      </c>
      <c r="L170">
        <v>30</v>
      </c>
      <c r="M170">
        <v>14112</v>
      </c>
    </row>
    <row r="171" spans="1:13" x14ac:dyDescent="0.35">
      <c r="A171" t="s">
        <v>182</v>
      </c>
      <c r="B171" t="s">
        <v>682</v>
      </c>
      <c r="C171" t="s">
        <v>1016</v>
      </c>
      <c r="D171" t="s">
        <v>1018</v>
      </c>
      <c r="E171">
        <v>94738</v>
      </c>
      <c r="F171">
        <v>61566.845699932921</v>
      </c>
      <c r="G171" t="s">
        <v>1023</v>
      </c>
      <c r="H171" s="3">
        <v>45359</v>
      </c>
      <c r="I171" s="3">
        <v>45245</v>
      </c>
      <c r="J171" s="3">
        <v>45319</v>
      </c>
      <c r="K171" t="s">
        <v>1026</v>
      </c>
      <c r="L171">
        <v>41</v>
      </c>
      <c r="M171">
        <v>9106</v>
      </c>
    </row>
    <row r="172" spans="1:13" x14ac:dyDescent="0.35">
      <c r="A172" t="s">
        <v>183</v>
      </c>
      <c r="B172" t="s">
        <v>683</v>
      </c>
      <c r="C172" t="s">
        <v>1014</v>
      </c>
      <c r="D172" t="s">
        <v>1017</v>
      </c>
      <c r="E172">
        <v>98646</v>
      </c>
      <c r="F172">
        <v>30022.055337629979</v>
      </c>
      <c r="G172" t="s">
        <v>1024</v>
      </c>
      <c r="H172" s="3">
        <v>45360</v>
      </c>
      <c r="I172" s="3">
        <v>45143</v>
      </c>
      <c r="J172" s="3">
        <v>45647</v>
      </c>
      <c r="K172" t="s">
        <v>1025</v>
      </c>
      <c r="L172">
        <v>52</v>
      </c>
      <c r="M172">
        <v>11689</v>
      </c>
    </row>
    <row r="173" spans="1:13" x14ac:dyDescent="0.35">
      <c r="A173" t="s">
        <v>184</v>
      </c>
      <c r="B173" t="s">
        <v>684</v>
      </c>
      <c r="C173" t="s">
        <v>1015</v>
      </c>
      <c r="D173" t="s">
        <v>1017</v>
      </c>
      <c r="E173">
        <v>85122</v>
      </c>
      <c r="F173">
        <v>24654.03313366104</v>
      </c>
      <c r="G173" t="s">
        <v>1023</v>
      </c>
      <c r="H173" s="3">
        <v>45562</v>
      </c>
      <c r="I173" s="3">
        <v>44969</v>
      </c>
      <c r="J173" s="3">
        <v>45295</v>
      </c>
      <c r="K173" t="s">
        <v>1026</v>
      </c>
      <c r="L173">
        <v>55</v>
      </c>
      <c r="M173">
        <v>14046</v>
      </c>
    </row>
    <row r="174" spans="1:13" x14ac:dyDescent="0.35">
      <c r="A174" t="s">
        <v>185</v>
      </c>
      <c r="B174" t="s">
        <v>685</v>
      </c>
      <c r="C174" t="s">
        <v>1013</v>
      </c>
      <c r="D174" t="s">
        <v>1018</v>
      </c>
      <c r="E174">
        <v>26519</v>
      </c>
      <c r="F174">
        <v>80651.891106861804</v>
      </c>
      <c r="G174" t="s">
        <v>1023</v>
      </c>
      <c r="H174" s="3">
        <v>45527</v>
      </c>
      <c r="I174" s="3">
        <v>44971</v>
      </c>
      <c r="J174" s="3">
        <v>45411</v>
      </c>
      <c r="K174" t="s">
        <v>1026</v>
      </c>
      <c r="L174">
        <v>64</v>
      </c>
      <c r="M174">
        <v>5171</v>
      </c>
    </row>
    <row r="175" spans="1:13" x14ac:dyDescent="0.35">
      <c r="A175" t="s">
        <v>186</v>
      </c>
      <c r="B175" t="s">
        <v>686</v>
      </c>
      <c r="C175" t="s">
        <v>1014</v>
      </c>
      <c r="D175" t="s">
        <v>1021</v>
      </c>
      <c r="E175">
        <v>98809</v>
      </c>
      <c r="F175">
        <v>52209.657179922768</v>
      </c>
      <c r="G175" t="s">
        <v>1022</v>
      </c>
      <c r="H175" s="3">
        <v>45443</v>
      </c>
      <c r="I175" s="3">
        <v>44973</v>
      </c>
      <c r="J175" s="3">
        <v>45594</v>
      </c>
      <c r="K175" t="s">
        <v>1026</v>
      </c>
      <c r="L175">
        <v>42</v>
      </c>
      <c r="M175">
        <v>3567</v>
      </c>
    </row>
    <row r="176" spans="1:13" x14ac:dyDescent="0.35">
      <c r="A176" t="s">
        <v>187</v>
      </c>
      <c r="B176" t="s">
        <v>687</v>
      </c>
      <c r="C176" t="s">
        <v>1014</v>
      </c>
      <c r="D176" t="s">
        <v>1020</v>
      </c>
      <c r="E176">
        <v>89487</v>
      </c>
      <c r="F176">
        <v>45240.649935396068</v>
      </c>
      <c r="G176" t="s">
        <v>1022</v>
      </c>
      <c r="H176" s="3">
        <v>45543</v>
      </c>
      <c r="I176" s="3">
        <v>45086</v>
      </c>
      <c r="J176" s="3">
        <v>45418</v>
      </c>
      <c r="K176" t="s">
        <v>1025</v>
      </c>
      <c r="L176">
        <v>64</v>
      </c>
      <c r="M176">
        <v>3151</v>
      </c>
    </row>
    <row r="177" spans="1:13" x14ac:dyDescent="0.35">
      <c r="A177" t="s">
        <v>188</v>
      </c>
      <c r="B177" t="s">
        <v>688</v>
      </c>
      <c r="C177" t="s">
        <v>1016</v>
      </c>
      <c r="D177" t="s">
        <v>1017</v>
      </c>
      <c r="E177">
        <v>58819</v>
      </c>
      <c r="F177">
        <v>49855.03110609344</v>
      </c>
      <c r="G177" t="s">
        <v>1023</v>
      </c>
      <c r="H177" s="3">
        <v>45430</v>
      </c>
      <c r="I177" s="3">
        <v>45268</v>
      </c>
      <c r="J177" s="3">
        <v>45351</v>
      </c>
      <c r="K177" t="s">
        <v>1025</v>
      </c>
      <c r="L177">
        <v>64</v>
      </c>
      <c r="M177">
        <v>9619</v>
      </c>
    </row>
    <row r="178" spans="1:13" x14ac:dyDescent="0.35">
      <c r="A178" t="s">
        <v>189</v>
      </c>
      <c r="B178" t="s">
        <v>689</v>
      </c>
      <c r="C178" t="s">
        <v>1013</v>
      </c>
      <c r="D178" t="s">
        <v>1018</v>
      </c>
      <c r="E178">
        <v>82910</v>
      </c>
      <c r="F178">
        <v>51456.325488369657</v>
      </c>
      <c r="G178" t="s">
        <v>1022</v>
      </c>
      <c r="H178" s="3">
        <v>45326</v>
      </c>
      <c r="I178" s="3">
        <v>45019</v>
      </c>
      <c r="J178" s="3">
        <v>45433</v>
      </c>
      <c r="K178" t="s">
        <v>1026</v>
      </c>
      <c r="L178">
        <v>53</v>
      </c>
      <c r="M178">
        <v>8033</v>
      </c>
    </row>
    <row r="179" spans="1:13" x14ac:dyDescent="0.35">
      <c r="A179" t="s">
        <v>190</v>
      </c>
      <c r="B179" t="s">
        <v>690</v>
      </c>
      <c r="C179" t="s">
        <v>1013</v>
      </c>
      <c r="D179" t="s">
        <v>1019</v>
      </c>
      <c r="E179">
        <v>73324</v>
      </c>
      <c r="F179">
        <v>31427.962892396481</v>
      </c>
      <c r="G179" t="s">
        <v>1023</v>
      </c>
      <c r="H179" s="3">
        <v>45521</v>
      </c>
      <c r="I179" s="3">
        <v>44956</v>
      </c>
      <c r="J179" s="3">
        <v>45325</v>
      </c>
      <c r="K179" t="s">
        <v>1025</v>
      </c>
      <c r="L179">
        <v>28</v>
      </c>
      <c r="M179">
        <v>10560</v>
      </c>
    </row>
    <row r="180" spans="1:13" x14ac:dyDescent="0.35">
      <c r="A180" t="s">
        <v>191</v>
      </c>
      <c r="B180" t="s">
        <v>691</v>
      </c>
      <c r="C180" t="s">
        <v>1015</v>
      </c>
      <c r="D180" t="s">
        <v>1018</v>
      </c>
      <c r="E180">
        <v>7408</v>
      </c>
      <c r="F180">
        <v>0</v>
      </c>
      <c r="G180" t="s">
        <v>1023</v>
      </c>
      <c r="H180" s="3">
        <v>45325</v>
      </c>
      <c r="I180" s="3">
        <v>44985</v>
      </c>
      <c r="J180" s="3">
        <v>45363</v>
      </c>
      <c r="K180" t="s">
        <v>1026</v>
      </c>
      <c r="L180">
        <v>43</v>
      </c>
      <c r="M180">
        <v>6946</v>
      </c>
    </row>
    <row r="181" spans="1:13" x14ac:dyDescent="0.35">
      <c r="A181" t="s">
        <v>192</v>
      </c>
      <c r="B181" t="s">
        <v>692</v>
      </c>
      <c r="C181" t="s">
        <v>1013</v>
      </c>
      <c r="D181" t="s">
        <v>1019</v>
      </c>
      <c r="E181">
        <v>61379</v>
      </c>
      <c r="F181">
        <v>54457.251615549183</v>
      </c>
      <c r="G181" t="s">
        <v>1023</v>
      </c>
      <c r="H181" s="3">
        <v>45354</v>
      </c>
      <c r="I181" s="3">
        <v>45246</v>
      </c>
      <c r="J181" s="3">
        <v>45479</v>
      </c>
      <c r="K181" t="s">
        <v>1025</v>
      </c>
      <c r="L181">
        <v>27</v>
      </c>
      <c r="M181">
        <v>10234</v>
      </c>
    </row>
    <row r="182" spans="1:13" x14ac:dyDescent="0.35">
      <c r="A182" t="s">
        <v>193</v>
      </c>
      <c r="B182" t="s">
        <v>693</v>
      </c>
      <c r="C182" t="s">
        <v>1015</v>
      </c>
      <c r="D182" t="s">
        <v>1021</v>
      </c>
      <c r="E182">
        <v>27053</v>
      </c>
      <c r="F182">
        <v>21727.633134673099</v>
      </c>
      <c r="G182" t="s">
        <v>1023</v>
      </c>
      <c r="H182" s="3">
        <v>45344</v>
      </c>
      <c r="I182" s="3">
        <v>45275</v>
      </c>
      <c r="J182" s="3">
        <v>45628</v>
      </c>
      <c r="K182" t="s">
        <v>1025</v>
      </c>
      <c r="L182">
        <v>26</v>
      </c>
      <c r="M182">
        <v>3907</v>
      </c>
    </row>
    <row r="183" spans="1:13" x14ac:dyDescent="0.35">
      <c r="A183" t="s">
        <v>194</v>
      </c>
      <c r="B183" t="s">
        <v>694</v>
      </c>
      <c r="C183" t="s">
        <v>1013</v>
      </c>
      <c r="D183" t="s">
        <v>1020</v>
      </c>
      <c r="E183">
        <v>11446</v>
      </c>
      <c r="F183">
        <v>78943.6469531904</v>
      </c>
      <c r="G183" t="s">
        <v>1022</v>
      </c>
      <c r="H183" s="3">
        <v>45359</v>
      </c>
      <c r="I183" s="3">
        <v>45259</v>
      </c>
      <c r="J183" s="3">
        <v>45376</v>
      </c>
      <c r="K183" t="s">
        <v>1025</v>
      </c>
      <c r="L183">
        <v>55</v>
      </c>
      <c r="M183">
        <v>5490</v>
      </c>
    </row>
    <row r="184" spans="1:13" x14ac:dyDescent="0.35">
      <c r="A184" t="s">
        <v>195</v>
      </c>
      <c r="B184" t="s">
        <v>695</v>
      </c>
      <c r="C184" t="s">
        <v>1016</v>
      </c>
      <c r="D184" t="s">
        <v>1018</v>
      </c>
      <c r="E184">
        <v>2922</v>
      </c>
      <c r="F184">
        <v>23310.528210011711</v>
      </c>
      <c r="G184" t="s">
        <v>1023</v>
      </c>
      <c r="H184" s="3">
        <v>45446</v>
      </c>
      <c r="I184" s="3">
        <v>44943</v>
      </c>
      <c r="J184" s="3">
        <v>45408</v>
      </c>
      <c r="K184" t="s">
        <v>1026</v>
      </c>
      <c r="L184">
        <v>37</v>
      </c>
      <c r="M184">
        <v>4535</v>
      </c>
    </row>
    <row r="185" spans="1:13" x14ac:dyDescent="0.35">
      <c r="A185" t="s">
        <v>196</v>
      </c>
      <c r="B185" t="s">
        <v>696</v>
      </c>
      <c r="C185" t="s">
        <v>1013</v>
      </c>
      <c r="D185" t="s">
        <v>1017</v>
      </c>
      <c r="E185">
        <v>53356</v>
      </c>
      <c r="F185">
        <v>57168.033009433319</v>
      </c>
      <c r="G185" t="s">
        <v>1023</v>
      </c>
      <c r="H185" s="3">
        <v>45520</v>
      </c>
      <c r="I185" s="3">
        <v>45155</v>
      </c>
      <c r="J185" s="3">
        <v>45352</v>
      </c>
      <c r="K185" t="s">
        <v>1025</v>
      </c>
      <c r="L185">
        <v>22</v>
      </c>
      <c r="M185">
        <v>6173</v>
      </c>
    </row>
    <row r="186" spans="1:13" x14ac:dyDescent="0.35">
      <c r="A186" t="s">
        <v>197</v>
      </c>
      <c r="B186" t="s">
        <v>697</v>
      </c>
      <c r="C186" t="s">
        <v>1015</v>
      </c>
      <c r="D186" t="s">
        <v>1021</v>
      </c>
      <c r="E186">
        <v>12789</v>
      </c>
      <c r="F186">
        <v>50311.398716277698</v>
      </c>
      <c r="G186" t="s">
        <v>1022</v>
      </c>
      <c r="H186" s="3">
        <v>45357</v>
      </c>
      <c r="I186" s="3">
        <v>45068</v>
      </c>
      <c r="J186" s="3">
        <v>45341</v>
      </c>
      <c r="K186" t="s">
        <v>1025</v>
      </c>
      <c r="L186">
        <v>47</v>
      </c>
      <c r="M186">
        <v>13065</v>
      </c>
    </row>
    <row r="187" spans="1:13" x14ac:dyDescent="0.35">
      <c r="A187" t="s">
        <v>198</v>
      </c>
      <c r="B187" t="s">
        <v>698</v>
      </c>
      <c r="C187" t="s">
        <v>1015</v>
      </c>
      <c r="D187" t="s">
        <v>1018</v>
      </c>
      <c r="E187">
        <v>99720</v>
      </c>
      <c r="F187">
        <v>27771.564361914021</v>
      </c>
      <c r="G187" t="s">
        <v>1022</v>
      </c>
      <c r="H187" s="3">
        <v>45403</v>
      </c>
      <c r="I187" s="3">
        <v>45093</v>
      </c>
      <c r="J187" s="3">
        <v>45408</v>
      </c>
      <c r="K187" t="s">
        <v>1026</v>
      </c>
      <c r="L187">
        <v>25</v>
      </c>
      <c r="M187">
        <v>12016</v>
      </c>
    </row>
    <row r="188" spans="1:13" x14ac:dyDescent="0.35">
      <c r="A188" t="s">
        <v>199</v>
      </c>
      <c r="B188" t="s">
        <v>699</v>
      </c>
      <c r="C188" t="s">
        <v>1016</v>
      </c>
      <c r="D188" t="s">
        <v>1017</v>
      </c>
      <c r="E188">
        <v>68656</v>
      </c>
      <c r="F188">
        <v>40280.277274590837</v>
      </c>
      <c r="G188" t="s">
        <v>1023</v>
      </c>
      <c r="H188" s="3">
        <v>45416</v>
      </c>
      <c r="I188" s="3">
        <v>44993</v>
      </c>
      <c r="J188" s="3">
        <v>45347</v>
      </c>
      <c r="K188" t="s">
        <v>1026</v>
      </c>
      <c r="L188">
        <v>63</v>
      </c>
      <c r="M188">
        <v>3293</v>
      </c>
    </row>
    <row r="189" spans="1:13" x14ac:dyDescent="0.35">
      <c r="A189" t="s">
        <v>200</v>
      </c>
      <c r="B189" t="s">
        <v>700</v>
      </c>
      <c r="C189" t="s">
        <v>1013</v>
      </c>
      <c r="D189" t="s">
        <v>1018</v>
      </c>
      <c r="E189">
        <v>46028</v>
      </c>
      <c r="F189">
        <v>12790.847378132061</v>
      </c>
      <c r="G189" t="s">
        <v>1023</v>
      </c>
      <c r="H189" s="3">
        <v>45579</v>
      </c>
      <c r="I189" s="3">
        <v>45116</v>
      </c>
      <c r="J189" s="3">
        <v>45517</v>
      </c>
      <c r="K189" t="s">
        <v>1026</v>
      </c>
      <c r="L189">
        <v>63</v>
      </c>
      <c r="M189">
        <v>6769</v>
      </c>
    </row>
    <row r="190" spans="1:13" x14ac:dyDescent="0.35">
      <c r="A190" t="s">
        <v>201</v>
      </c>
      <c r="B190" t="s">
        <v>701</v>
      </c>
      <c r="C190" t="s">
        <v>1013</v>
      </c>
      <c r="D190" t="s">
        <v>1019</v>
      </c>
      <c r="E190">
        <v>66484</v>
      </c>
      <c r="F190">
        <v>0</v>
      </c>
      <c r="G190" t="s">
        <v>1023</v>
      </c>
      <c r="H190" s="3">
        <v>45305</v>
      </c>
      <c r="I190" s="3">
        <v>45291</v>
      </c>
      <c r="J190" s="3">
        <v>45607</v>
      </c>
      <c r="K190" t="s">
        <v>1026</v>
      </c>
      <c r="L190">
        <v>40</v>
      </c>
      <c r="M190">
        <v>6796</v>
      </c>
    </row>
    <row r="191" spans="1:13" x14ac:dyDescent="0.35">
      <c r="A191" t="s">
        <v>202</v>
      </c>
      <c r="B191" t="s">
        <v>702</v>
      </c>
      <c r="C191" t="s">
        <v>1016</v>
      </c>
      <c r="D191" t="s">
        <v>1018</v>
      </c>
      <c r="E191">
        <v>34154</v>
      </c>
      <c r="F191">
        <v>42550.221007914974</v>
      </c>
      <c r="G191" t="s">
        <v>1022</v>
      </c>
      <c r="H191" s="3">
        <v>45534</v>
      </c>
      <c r="I191" s="3">
        <v>45209</v>
      </c>
      <c r="J191" s="3">
        <v>45505</v>
      </c>
      <c r="K191" t="s">
        <v>1025</v>
      </c>
      <c r="L191">
        <v>47</v>
      </c>
      <c r="M191">
        <v>8871</v>
      </c>
    </row>
    <row r="192" spans="1:13" x14ac:dyDescent="0.35">
      <c r="A192" t="s">
        <v>203</v>
      </c>
      <c r="B192" t="s">
        <v>703</v>
      </c>
      <c r="C192" t="s">
        <v>1013</v>
      </c>
      <c r="D192" t="s">
        <v>1018</v>
      </c>
      <c r="E192">
        <v>84870</v>
      </c>
      <c r="F192">
        <v>56563.178960036537</v>
      </c>
      <c r="G192" t="s">
        <v>1023</v>
      </c>
      <c r="H192" s="3">
        <v>45398</v>
      </c>
      <c r="I192" s="3">
        <v>44982</v>
      </c>
      <c r="J192" s="3">
        <v>45417</v>
      </c>
      <c r="K192" t="s">
        <v>1025</v>
      </c>
      <c r="L192">
        <v>59</v>
      </c>
      <c r="M192">
        <v>13578</v>
      </c>
    </row>
    <row r="193" spans="1:13" x14ac:dyDescent="0.35">
      <c r="A193" t="s">
        <v>204</v>
      </c>
      <c r="B193" t="s">
        <v>704</v>
      </c>
      <c r="C193" t="s">
        <v>1013</v>
      </c>
      <c r="D193" t="s">
        <v>1018</v>
      </c>
      <c r="E193">
        <v>4336</v>
      </c>
      <c r="F193">
        <v>45367.006488754938</v>
      </c>
      <c r="G193" t="s">
        <v>1024</v>
      </c>
      <c r="H193" s="3">
        <v>45551</v>
      </c>
      <c r="I193" s="3">
        <v>45019</v>
      </c>
      <c r="J193" s="3">
        <v>45606</v>
      </c>
      <c r="K193" t="s">
        <v>1025</v>
      </c>
      <c r="L193">
        <v>20</v>
      </c>
      <c r="M193">
        <v>4972</v>
      </c>
    </row>
    <row r="194" spans="1:13" x14ac:dyDescent="0.35">
      <c r="A194" t="s">
        <v>205</v>
      </c>
      <c r="B194" t="s">
        <v>705</v>
      </c>
      <c r="C194" t="s">
        <v>1015</v>
      </c>
      <c r="D194" t="s">
        <v>1021</v>
      </c>
      <c r="E194">
        <v>69779</v>
      </c>
      <c r="F194">
        <v>56835.930256329892</v>
      </c>
      <c r="G194" t="s">
        <v>1023</v>
      </c>
      <c r="H194" s="3">
        <v>45464</v>
      </c>
      <c r="I194" s="3">
        <v>45124</v>
      </c>
      <c r="J194" s="3">
        <v>45635</v>
      </c>
      <c r="K194" t="s">
        <v>1025</v>
      </c>
      <c r="L194">
        <v>55</v>
      </c>
      <c r="M194">
        <v>5922</v>
      </c>
    </row>
    <row r="195" spans="1:13" x14ac:dyDescent="0.35">
      <c r="A195" t="s">
        <v>206</v>
      </c>
      <c r="B195" t="s">
        <v>706</v>
      </c>
      <c r="C195" t="s">
        <v>1013</v>
      </c>
      <c r="D195" t="s">
        <v>1018</v>
      </c>
      <c r="E195">
        <v>21029</v>
      </c>
      <c r="F195">
        <v>35919.748741418181</v>
      </c>
      <c r="G195" t="s">
        <v>1023</v>
      </c>
      <c r="H195" s="3">
        <v>45548</v>
      </c>
      <c r="I195" s="3">
        <v>45047</v>
      </c>
      <c r="J195" s="3">
        <v>45639</v>
      </c>
      <c r="K195" t="s">
        <v>1025</v>
      </c>
      <c r="L195">
        <v>40</v>
      </c>
      <c r="M195">
        <v>6997</v>
      </c>
    </row>
    <row r="196" spans="1:13" x14ac:dyDescent="0.35">
      <c r="A196" t="s">
        <v>207</v>
      </c>
      <c r="B196" t="s">
        <v>707</v>
      </c>
      <c r="C196" t="s">
        <v>1013</v>
      </c>
      <c r="D196" t="s">
        <v>1017</v>
      </c>
      <c r="E196">
        <v>61201</v>
      </c>
      <c r="F196">
        <v>70179.127241785449</v>
      </c>
      <c r="G196" t="s">
        <v>1023</v>
      </c>
      <c r="H196" s="3">
        <v>45384</v>
      </c>
      <c r="I196" s="3">
        <v>45227</v>
      </c>
      <c r="J196" s="3">
        <v>45445</v>
      </c>
      <c r="K196" t="s">
        <v>1026</v>
      </c>
      <c r="L196">
        <v>62</v>
      </c>
      <c r="M196">
        <v>9032</v>
      </c>
    </row>
    <row r="197" spans="1:13" x14ac:dyDescent="0.35">
      <c r="A197" t="s">
        <v>208</v>
      </c>
      <c r="B197" t="s">
        <v>708</v>
      </c>
      <c r="C197" t="s">
        <v>1016</v>
      </c>
      <c r="D197" t="s">
        <v>1019</v>
      </c>
      <c r="E197">
        <v>34265</v>
      </c>
      <c r="F197">
        <v>45760.536434279791</v>
      </c>
      <c r="G197" t="s">
        <v>1023</v>
      </c>
      <c r="H197" s="3">
        <v>45438</v>
      </c>
      <c r="I197" s="3">
        <v>45175</v>
      </c>
      <c r="J197" s="3">
        <v>45618</v>
      </c>
      <c r="K197" t="s">
        <v>1025</v>
      </c>
      <c r="L197">
        <v>54</v>
      </c>
      <c r="M197">
        <v>2992</v>
      </c>
    </row>
    <row r="198" spans="1:13" x14ac:dyDescent="0.35">
      <c r="A198" t="s">
        <v>209</v>
      </c>
      <c r="B198" t="s">
        <v>709</v>
      </c>
      <c r="C198" t="s">
        <v>1016</v>
      </c>
      <c r="D198" t="s">
        <v>1019</v>
      </c>
      <c r="E198">
        <v>45872</v>
      </c>
      <c r="F198">
        <v>19757.485259324079</v>
      </c>
      <c r="G198" t="s">
        <v>1023</v>
      </c>
      <c r="H198" s="3">
        <v>45562</v>
      </c>
      <c r="I198" s="3">
        <v>44968</v>
      </c>
      <c r="J198" s="3">
        <v>45547</v>
      </c>
      <c r="K198" t="s">
        <v>1025</v>
      </c>
      <c r="L198">
        <v>32</v>
      </c>
      <c r="M198">
        <v>10112</v>
      </c>
    </row>
    <row r="199" spans="1:13" x14ac:dyDescent="0.35">
      <c r="A199" t="s">
        <v>210</v>
      </c>
      <c r="B199" t="s">
        <v>710</v>
      </c>
      <c r="C199" t="s">
        <v>1014</v>
      </c>
      <c r="D199" t="s">
        <v>1018</v>
      </c>
      <c r="E199">
        <v>48197</v>
      </c>
      <c r="F199">
        <v>0</v>
      </c>
      <c r="G199" t="s">
        <v>1024</v>
      </c>
      <c r="H199" s="3">
        <v>45381</v>
      </c>
      <c r="I199" s="3">
        <v>45067</v>
      </c>
      <c r="J199" s="3">
        <v>45349</v>
      </c>
      <c r="K199" t="s">
        <v>1025</v>
      </c>
      <c r="L199">
        <v>68</v>
      </c>
      <c r="M199">
        <v>7287</v>
      </c>
    </row>
    <row r="200" spans="1:13" x14ac:dyDescent="0.35">
      <c r="A200" t="s">
        <v>211</v>
      </c>
      <c r="B200" t="s">
        <v>711</v>
      </c>
      <c r="C200" t="s">
        <v>1015</v>
      </c>
      <c r="D200" t="s">
        <v>1021</v>
      </c>
      <c r="E200">
        <v>57180</v>
      </c>
      <c r="F200">
        <v>25673.188276108711</v>
      </c>
      <c r="G200" t="s">
        <v>1023</v>
      </c>
      <c r="H200" s="3">
        <v>45560</v>
      </c>
      <c r="I200" s="3">
        <v>45063</v>
      </c>
      <c r="J200" s="3">
        <v>45518</v>
      </c>
      <c r="K200" t="s">
        <v>1026</v>
      </c>
      <c r="L200">
        <v>29</v>
      </c>
      <c r="M200">
        <v>12578</v>
      </c>
    </row>
    <row r="201" spans="1:13" x14ac:dyDescent="0.35">
      <c r="A201" t="s">
        <v>212</v>
      </c>
      <c r="B201" t="s">
        <v>712</v>
      </c>
      <c r="C201" t="s">
        <v>1013</v>
      </c>
      <c r="D201" t="s">
        <v>1021</v>
      </c>
      <c r="E201">
        <v>25710</v>
      </c>
      <c r="F201">
        <v>39769.043286352178</v>
      </c>
      <c r="G201" t="s">
        <v>1023</v>
      </c>
      <c r="H201" s="3">
        <v>45509</v>
      </c>
      <c r="I201" s="3">
        <v>45071</v>
      </c>
      <c r="J201" s="3">
        <v>45568</v>
      </c>
      <c r="K201" t="s">
        <v>1026</v>
      </c>
      <c r="L201">
        <v>63</v>
      </c>
      <c r="M201">
        <v>4240</v>
      </c>
    </row>
    <row r="202" spans="1:13" x14ac:dyDescent="0.35">
      <c r="A202" t="s">
        <v>213</v>
      </c>
      <c r="B202" t="s">
        <v>713</v>
      </c>
      <c r="C202" t="s">
        <v>1013</v>
      </c>
      <c r="D202" t="s">
        <v>1017</v>
      </c>
      <c r="E202">
        <v>31486</v>
      </c>
      <c r="F202">
        <v>4983.0212325508473</v>
      </c>
      <c r="G202" t="s">
        <v>1022</v>
      </c>
      <c r="H202" s="3">
        <v>45493</v>
      </c>
      <c r="I202" s="3">
        <v>45036</v>
      </c>
      <c r="J202" s="3">
        <v>45550</v>
      </c>
      <c r="K202" t="s">
        <v>1025</v>
      </c>
      <c r="L202">
        <v>66</v>
      </c>
      <c r="M202">
        <v>3476</v>
      </c>
    </row>
    <row r="203" spans="1:13" x14ac:dyDescent="0.35">
      <c r="A203" t="s">
        <v>214</v>
      </c>
      <c r="B203" t="s">
        <v>714</v>
      </c>
      <c r="C203" t="s">
        <v>1014</v>
      </c>
      <c r="D203" t="s">
        <v>1018</v>
      </c>
      <c r="E203">
        <v>73907</v>
      </c>
      <c r="F203">
        <v>72891.844159347078</v>
      </c>
      <c r="G203" t="s">
        <v>1023</v>
      </c>
      <c r="H203" s="3">
        <v>45524</v>
      </c>
      <c r="I203" s="3">
        <v>45075</v>
      </c>
      <c r="J203" s="3">
        <v>45629</v>
      </c>
      <c r="K203" t="s">
        <v>1026</v>
      </c>
      <c r="L203">
        <v>29</v>
      </c>
      <c r="M203">
        <v>8426</v>
      </c>
    </row>
    <row r="204" spans="1:13" x14ac:dyDescent="0.35">
      <c r="A204" t="s">
        <v>215</v>
      </c>
      <c r="B204" t="s">
        <v>715</v>
      </c>
      <c r="C204" t="s">
        <v>1013</v>
      </c>
      <c r="D204" t="s">
        <v>1019</v>
      </c>
      <c r="E204">
        <v>73895</v>
      </c>
      <c r="F204">
        <v>15076.185836034359</v>
      </c>
      <c r="G204" t="s">
        <v>1022</v>
      </c>
      <c r="H204" s="3">
        <v>45372</v>
      </c>
      <c r="I204" s="3">
        <v>45164</v>
      </c>
      <c r="J204" s="3">
        <v>45618</v>
      </c>
      <c r="K204" t="s">
        <v>1026</v>
      </c>
      <c r="L204">
        <v>65</v>
      </c>
      <c r="M204">
        <v>13599</v>
      </c>
    </row>
    <row r="205" spans="1:13" x14ac:dyDescent="0.35">
      <c r="A205" t="s">
        <v>216</v>
      </c>
      <c r="B205" t="s">
        <v>716</v>
      </c>
      <c r="C205" t="s">
        <v>1015</v>
      </c>
      <c r="D205" t="s">
        <v>1021</v>
      </c>
      <c r="E205">
        <v>66435</v>
      </c>
      <c r="F205">
        <v>21509.279545196339</v>
      </c>
      <c r="G205" t="s">
        <v>1023</v>
      </c>
      <c r="H205" s="3">
        <v>45589</v>
      </c>
      <c r="I205" s="3">
        <v>45194</v>
      </c>
      <c r="J205" s="3">
        <v>45485</v>
      </c>
      <c r="K205" t="s">
        <v>1026</v>
      </c>
      <c r="L205">
        <v>32</v>
      </c>
      <c r="M205">
        <v>2389</v>
      </c>
    </row>
    <row r="206" spans="1:13" x14ac:dyDescent="0.35">
      <c r="A206" t="s">
        <v>217</v>
      </c>
      <c r="B206" t="s">
        <v>717</v>
      </c>
      <c r="C206" t="s">
        <v>1014</v>
      </c>
      <c r="D206" t="s">
        <v>1018</v>
      </c>
      <c r="E206">
        <v>42631</v>
      </c>
      <c r="F206">
        <v>16059.19526889776</v>
      </c>
      <c r="G206" t="s">
        <v>1023</v>
      </c>
      <c r="H206" s="3">
        <v>45337</v>
      </c>
      <c r="I206" s="3">
        <v>45112</v>
      </c>
      <c r="J206" s="3">
        <v>45417</v>
      </c>
      <c r="K206" t="s">
        <v>1026</v>
      </c>
      <c r="L206">
        <v>56</v>
      </c>
      <c r="M206">
        <v>2999</v>
      </c>
    </row>
    <row r="207" spans="1:13" x14ac:dyDescent="0.35">
      <c r="A207" t="s">
        <v>218</v>
      </c>
      <c r="B207" t="s">
        <v>718</v>
      </c>
      <c r="C207" t="s">
        <v>1015</v>
      </c>
      <c r="D207" t="s">
        <v>1021</v>
      </c>
      <c r="E207">
        <v>22103</v>
      </c>
      <c r="F207">
        <v>16928.117271504561</v>
      </c>
      <c r="G207" t="s">
        <v>1023</v>
      </c>
      <c r="H207" s="3">
        <v>45309</v>
      </c>
      <c r="I207" s="3">
        <v>45273</v>
      </c>
      <c r="J207" s="3">
        <v>45486</v>
      </c>
      <c r="K207" t="s">
        <v>1026</v>
      </c>
      <c r="L207">
        <v>57</v>
      </c>
      <c r="M207">
        <v>14812</v>
      </c>
    </row>
    <row r="208" spans="1:13" x14ac:dyDescent="0.35">
      <c r="A208" t="s">
        <v>219</v>
      </c>
      <c r="B208" t="s">
        <v>719</v>
      </c>
      <c r="C208" t="s">
        <v>1014</v>
      </c>
      <c r="D208" t="s">
        <v>1021</v>
      </c>
      <c r="E208">
        <v>66772</v>
      </c>
      <c r="F208">
        <v>8103.7201875105438</v>
      </c>
      <c r="G208" t="s">
        <v>1023</v>
      </c>
      <c r="H208" s="3">
        <v>45357</v>
      </c>
      <c r="I208" s="3">
        <v>45269</v>
      </c>
      <c r="J208" s="3">
        <v>45507</v>
      </c>
      <c r="K208" t="s">
        <v>1026</v>
      </c>
      <c r="L208">
        <v>43</v>
      </c>
      <c r="M208">
        <v>3855</v>
      </c>
    </row>
    <row r="209" spans="1:13" x14ac:dyDescent="0.35">
      <c r="A209" t="s">
        <v>220</v>
      </c>
      <c r="B209" t="s">
        <v>720</v>
      </c>
      <c r="C209" t="s">
        <v>1014</v>
      </c>
      <c r="D209" t="s">
        <v>1019</v>
      </c>
      <c r="E209">
        <v>16382</v>
      </c>
      <c r="F209">
        <v>48441.141135198093</v>
      </c>
      <c r="G209" t="s">
        <v>1024</v>
      </c>
      <c r="H209" s="3">
        <v>45586</v>
      </c>
      <c r="I209" s="3">
        <v>45023</v>
      </c>
      <c r="J209" s="3">
        <v>45634</v>
      </c>
      <c r="K209" t="s">
        <v>1026</v>
      </c>
      <c r="L209">
        <v>21</v>
      </c>
      <c r="M209">
        <v>10125</v>
      </c>
    </row>
    <row r="210" spans="1:13" x14ac:dyDescent="0.35">
      <c r="A210" t="s">
        <v>221</v>
      </c>
      <c r="B210" t="s">
        <v>721</v>
      </c>
      <c r="C210" t="s">
        <v>1016</v>
      </c>
      <c r="D210" t="s">
        <v>1020</v>
      </c>
      <c r="E210">
        <v>86291</v>
      </c>
      <c r="F210">
        <v>0</v>
      </c>
      <c r="G210" t="s">
        <v>1023</v>
      </c>
      <c r="H210" s="3">
        <v>45537</v>
      </c>
      <c r="I210" s="3">
        <v>45189</v>
      </c>
      <c r="J210" s="3">
        <v>45326</v>
      </c>
      <c r="K210" t="s">
        <v>1025</v>
      </c>
      <c r="L210">
        <v>41</v>
      </c>
      <c r="M210">
        <v>10850</v>
      </c>
    </row>
    <row r="211" spans="1:13" x14ac:dyDescent="0.35">
      <c r="A211" t="s">
        <v>222</v>
      </c>
      <c r="B211" t="s">
        <v>722</v>
      </c>
      <c r="C211" t="s">
        <v>1015</v>
      </c>
      <c r="D211" t="s">
        <v>1017</v>
      </c>
      <c r="E211">
        <v>5756</v>
      </c>
      <c r="F211">
        <v>6927.1847871243453</v>
      </c>
      <c r="G211" t="s">
        <v>1023</v>
      </c>
      <c r="H211" s="3">
        <v>45505</v>
      </c>
      <c r="I211" s="3">
        <v>44993</v>
      </c>
      <c r="J211" s="3">
        <v>45468</v>
      </c>
      <c r="K211" t="s">
        <v>1025</v>
      </c>
      <c r="L211">
        <v>36</v>
      </c>
      <c r="M211">
        <v>4763</v>
      </c>
    </row>
    <row r="212" spans="1:13" x14ac:dyDescent="0.35">
      <c r="A212" t="s">
        <v>223</v>
      </c>
      <c r="B212" t="s">
        <v>723</v>
      </c>
      <c r="C212" t="s">
        <v>1013</v>
      </c>
      <c r="D212" t="s">
        <v>1017</v>
      </c>
      <c r="E212">
        <v>22609</v>
      </c>
      <c r="F212">
        <v>0</v>
      </c>
      <c r="G212" t="s">
        <v>1023</v>
      </c>
      <c r="H212" s="3">
        <v>45334</v>
      </c>
      <c r="I212" s="3">
        <v>45109</v>
      </c>
      <c r="J212" s="3">
        <v>45476</v>
      </c>
      <c r="K212" t="s">
        <v>1026</v>
      </c>
      <c r="L212">
        <v>55</v>
      </c>
      <c r="M212">
        <v>5663</v>
      </c>
    </row>
    <row r="213" spans="1:13" x14ac:dyDescent="0.35">
      <c r="A213" t="s">
        <v>224</v>
      </c>
      <c r="B213" t="s">
        <v>724</v>
      </c>
      <c r="C213" t="s">
        <v>1013</v>
      </c>
      <c r="D213" t="s">
        <v>1019</v>
      </c>
      <c r="E213">
        <v>18478</v>
      </c>
      <c r="F213">
        <v>43102.999269597647</v>
      </c>
      <c r="G213" t="s">
        <v>1023</v>
      </c>
      <c r="H213" s="3">
        <v>45450</v>
      </c>
      <c r="I213" s="3">
        <v>45174</v>
      </c>
      <c r="J213" s="3">
        <v>45533</v>
      </c>
      <c r="K213" t="s">
        <v>1025</v>
      </c>
      <c r="L213">
        <v>33</v>
      </c>
      <c r="M213">
        <v>6986</v>
      </c>
    </row>
    <row r="214" spans="1:13" x14ac:dyDescent="0.35">
      <c r="A214" t="s">
        <v>225</v>
      </c>
      <c r="B214" t="s">
        <v>725</v>
      </c>
      <c r="C214" t="s">
        <v>1015</v>
      </c>
      <c r="D214" t="s">
        <v>1021</v>
      </c>
      <c r="E214">
        <v>41666</v>
      </c>
      <c r="F214">
        <v>56588.104563725552</v>
      </c>
      <c r="G214" t="s">
        <v>1022</v>
      </c>
      <c r="H214" s="3">
        <v>45308</v>
      </c>
      <c r="I214" s="3">
        <v>45255</v>
      </c>
      <c r="J214" s="3">
        <v>45387</v>
      </c>
      <c r="K214" t="s">
        <v>1025</v>
      </c>
      <c r="L214">
        <v>29</v>
      </c>
      <c r="M214">
        <v>3481</v>
      </c>
    </row>
    <row r="215" spans="1:13" x14ac:dyDescent="0.35">
      <c r="A215" t="s">
        <v>226</v>
      </c>
      <c r="B215" t="s">
        <v>726</v>
      </c>
      <c r="C215" t="s">
        <v>1013</v>
      </c>
      <c r="D215" t="s">
        <v>1018</v>
      </c>
      <c r="E215">
        <v>77683</v>
      </c>
      <c r="F215">
        <v>61276.37493755194</v>
      </c>
      <c r="G215" t="s">
        <v>1023</v>
      </c>
      <c r="H215" s="3">
        <v>45364</v>
      </c>
      <c r="I215" s="3">
        <v>45183</v>
      </c>
      <c r="J215" s="3">
        <v>45308</v>
      </c>
      <c r="K215" t="s">
        <v>1026</v>
      </c>
      <c r="L215">
        <v>54</v>
      </c>
      <c r="M215">
        <v>9256</v>
      </c>
    </row>
    <row r="216" spans="1:13" x14ac:dyDescent="0.35">
      <c r="A216" t="s">
        <v>227</v>
      </c>
      <c r="B216" t="s">
        <v>727</v>
      </c>
      <c r="C216" t="s">
        <v>1013</v>
      </c>
      <c r="D216" t="s">
        <v>1021</v>
      </c>
      <c r="E216">
        <v>73315</v>
      </c>
      <c r="F216">
        <v>32778.262904004201</v>
      </c>
      <c r="G216" t="s">
        <v>1023</v>
      </c>
      <c r="H216" s="3">
        <v>45387</v>
      </c>
      <c r="I216" s="3">
        <v>45279</v>
      </c>
      <c r="J216" s="3">
        <v>45480</v>
      </c>
      <c r="K216" t="s">
        <v>1025</v>
      </c>
      <c r="L216">
        <v>44</v>
      </c>
      <c r="M216">
        <v>5731</v>
      </c>
    </row>
    <row r="217" spans="1:13" x14ac:dyDescent="0.35">
      <c r="A217" t="s">
        <v>228</v>
      </c>
      <c r="B217" t="s">
        <v>728</v>
      </c>
      <c r="C217" t="s">
        <v>1015</v>
      </c>
      <c r="D217" t="s">
        <v>1019</v>
      </c>
      <c r="E217">
        <v>79834</v>
      </c>
      <c r="F217">
        <v>0</v>
      </c>
      <c r="G217" t="s">
        <v>1024</v>
      </c>
      <c r="H217" s="3">
        <v>45576</v>
      </c>
      <c r="I217" s="3">
        <v>45029</v>
      </c>
      <c r="J217" s="3">
        <v>45456</v>
      </c>
      <c r="K217" t="s">
        <v>1026</v>
      </c>
      <c r="L217">
        <v>22</v>
      </c>
      <c r="M217">
        <v>9262</v>
      </c>
    </row>
    <row r="218" spans="1:13" x14ac:dyDescent="0.35">
      <c r="A218" t="s">
        <v>229</v>
      </c>
      <c r="B218" t="s">
        <v>729</v>
      </c>
      <c r="C218" t="s">
        <v>1014</v>
      </c>
      <c r="D218" t="s">
        <v>1017</v>
      </c>
      <c r="E218">
        <v>16153</v>
      </c>
      <c r="F218">
        <v>15247.31436839814</v>
      </c>
      <c r="G218" t="s">
        <v>1023</v>
      </c>
      <c r="H218" s="3">
        <v>45521</v>
      </c>
      <c r="I218" s="3">
        <v>45273</v>
      </c>
      <c r="J218" s="3">
        <v>45579</v>
      </c>
      <c r="K218" t="s">
        <v>1026</v>
      </c>
      <c r="L218">
        <v>66</v>
      </c>
      <c r="M218">
        <v>2451</v>
      </c>
    </row>
    <row r="219" spans="1:13" x14ac:dyDescent="0.35">
      <c r="A219" t="s">
        <v>230</v>
      </c>
      <c r="B219" t="s">
        <v>730</v>
      </c>
      <c r="C219" t="s">
        <v>1015</v>
      </c>
      <c r="D219" t="s">
        <v>1021</v>
      </c>
      <c r="E219">
        <v>78325</v>
      </c>
      <c r="F219">
        <v>72327.779341987945</v>
      </c>
      <c r="G219" t="s">
        <v>1024</v>
      </c>
      <c r="H219" s="3">
        <v>45336</v>
      </c>
      <c r="I219" s="3">
        <v>45119</v>
      </c>
      <c r="J219" s="3">
        <v>45493</v>
      </c>
      <c r="K219" t="s">
        <v>1026</v>
      </c>
      <c r="L219">
        <v>57</v>
      </c>
      <c r="M219">
        <v>12667</v>
      </c>
    </row>
    <row r="220" spans="1:13" x14ac:dyDescent="0.35">
      <c r="A220" t="s">
        <v>231</v>
      </c>
      <c r="B220" t="s">
        <v>731</v>
      </c>
      <c r="C220" t="s">
        <v>1014</v>
      </c>
      <c r="D220" t="s">
        <v>1017</v>
      </c>
      <c r="E220">
        <v>14999</v>
      </c>
      <c r="F220">
        <v>25825.846271245631</v>
      </c>
      <c r="G220" t="s">
        <v>1023</v>
      </c>
      <c r="H220" s="3">
        <v>45445</v>
      </c>
      <c r="I220" s="3">
        <v>45281</v>
      </c>
      <c r="J220" s="3">
        <v>45428</v>
      </c>
      <c r="K220" t="s">
        <v>1025</v>
      </c>
      <c r="L220">
        <v>36</v>
      </c>
      <c r="M220">
        <v>13414</v>
      </c>
    </row>
    <row r="221" spans="1:13" x14ac:dyDescent="0.35">
      <c r="A221" t="s">
        <v>232</v>
      </c>
      <c r="B221" t="s">
        <v>732</v>
      </c>
      <c r="C221" t="s">
        <v>1013</v>
      </c>
      <c r="D221" t="s">
        <v>1018</v>
      </c>
      <c r="E221">
        <v>57318</v>
      </c>
      <c r="F221">
        <v>26829.805142121819</v>
      </c>
      <c r="G221" t="s">
        <v>1023</v>
      </c>
      <c r="H221" s="3">
        <v>45430</v>
      </c>
      <c r="I221" s="3">
        <v>45054</v>
      </c>
      <c r="J221" s="3">
        <v>45328</v>
      </c>
      <c r="K221" t="s">
        <v>1025</v>
      </c>
      <c r="L221">
        <v>31</v>
      </c>
      <c r="M221">
        <v>11729</v>
      </c>
    </row>
    <row r="222" spans="1:13" x14ac:dyDescent="0.35">
      <c r="A222" t="s">
        <v>233</v>
      </c>
      <c r="B222" t="s">
        <v>733</v>
      </c>
      <c r="C222" t="s">
        <v>1013</v>
      </c>
      <c r="D222" t="s">
        <v>1017</v>
      </c>
      <c r="E222">
        <v>2814</v>
      </c>
      <c r="F222">
        <v>55796.571653980027</v>
      </c>
      <c r="G222" t="s">
        <v>1023</v>
      </c>
      <c r="H222" s="3">
        <v>45352</v>
      </c>
      <c r="I222" s="3">
        <v>44940</v>
      </c>
      <c r="J222" s="3">
        <v>45562</v>
      </c>
      <c r="K222" t="s">
        <v>1025</v>
      </c>
      <c r="L222">
        <v>43</v>
      </c>
      <c r="M222">
        <v>5093</v>
      </c>
    </row>
    <row r="223" spans="1:13" x14ac:dyDescent="0.35">
      <c r="A223" t="s">
        <v>234</v>
      </c>
      <c r="B223" t="s">
        <v>734</v>
      </c>
      <c r="C223" t="s">
        <v>1013</v>
      </c>
      <c r="D223" t="s">
        <v>1017</v>
      </c>
      <c r="E223">
        <v>78077</v>
      </c>
      <c r="F223">
        <v>35850.623421423341</v>
      </c>
      <c r="G223" t="s">
        <v>1022</v>
      </c>
      <c r="H223" s="3">
        <v>45458</v>
      </c>
      <c r="I223" s="3">
        <v>45071</v>
      </c>
      <c r="J223" s="3">
        <v>45654</v>
      </c>
      <c r="K223" t="s">
        <v>1025</v>
      </c>
      <c r="L223">
        <v>48</v>
      </c>
      <c r="M223">
        <v>2882</v>
      </c>
    </row>
    <row r="224" spans="1:13" x14ac:dyDescent="0.35">
      <c r="A224" t="s">
        <v>235</v>
      </c>
      <c r="B224" t="s">
        <v>735</v>
      </c>
      <c r="C224" t="s">
        <v>1016</v>
      </c>
      <c r="D224" t="s">
        <v>1020</v>
      </c>
      <c r="E224">
        <v>92474</v>
      </c>
      <c r="F224">
        <v>11398.478651019221</v>
      </c>
      <c r="G224" t="s">
        <v>1024</v>
      </c>
      <c r="H224" s="3">
        <v>45377</v>
      </c>
      <c r="I224" s="3">
        <v>45181</v>
      </c>
      <c r="J224" s="3">
        <v>45546</v>
      </c>
      <c r="K224" t="s">
        <v>1026</v>
      </c>
      <c r="L224">
        <v>62</v>
      </c>
      <c r="M224">
        <v>6408</v>
      </c>
    </row>
    <row r="225" spans="1:13" x14ac:dyDescent="0.35">
      <c r="A225" t="s">
        <v>236</v>
      </c>
      <c r="B225" t="s">
        <v>736</v>
      </c>
      <c r="C225" t="s">
        <v>1014</v>
      </c>
      <c r="D225" t="s">
        <v>1020</v>
      </c>
      <c r="E225">
        <v>4443</v>
      </c>
      <c r="F225">
        <v>82898.658846950973</v>
      </c>
      <c r="G225" t="s">
        <v>1023</v>
      </c>
      <c r="H225" s="3">
        <v>45529</v>
      </c>
      <c r="I225" s="3">
        <v>44933</v>
      </c>
      <c r="J225" s="3">
        <v>45328</v>
      </c>
      <c r="K225" t="s">
        <v>1026</v>
      </c>
      <c r="L225">
        <v>44</v>
      </c>
      <c r="M225">
        <v>6068</v>
      </c>
    </row>
    <row r="226" spans="1:13" x14ac:dyDescent="0.35">
      <c r="A226" t="s">
        <v>237</v>
      </c>
      <c r="B226" t="s">
        <v>737</v>
      </c>
      <c r="C226" t="s">
        <v>1016</v>
      </c>
      <c r="D226" t="s">
        <v>1020</v>
      </c>
      <c r="E226">
        <v>77993</v>
      </c>
      <c r="F226">
        <v>23535.592248056961</v>
      </c>
      <c r="G226" t="s">
        <v>1023</v>
      </c>
      <c r="H226" s="3">
        <v>45294</v>
      </c>
      <c r="I226" s="3">
        <v>44970</v>
      </c>
      <c r="J226" s="3">
        <v>45360</v>
      </c>
      <c r="K226" t="s">
        <v>1025</v>
      </c>
      <c r="L226">
        <v>55</v>
      </c>
      <c r="M226">
        <v>12758</v>
      </c>
    </row>
    <row r="227" spans="1:13" x14ac:dyDescent="0.35">
      <c r="A227" t="s">
        <v>238</v>
      </c>
      <c r="B227" t="s">
        <v>738</v>
      </c>
      <c r="C227" t="s">
        <v>1016</v>
      </c>
      <c r="D227" t="s">
        <v>1017</v>
      </c>
      <c r="E227">
        <v>77916</v>
      </c>
      <c r="F227">
        <v>52497.417258584253</v>
      </c>
      <c r="G227" t="s">
        <v>1023</v>
      </c>
      <c r="H227" s="3">
        <v>45489</v>
      </c>
      <c r="I227" s="3">
        <v>45189</v>
      </c>
      <c r="J227" s="3">
        <v>45629</v>
      </c>
      <c r="K227" t="s">
        <v>1026</v>
      </c>
      <c r="L227">
        <v>45</v>
      </c>
      <c r="M227">
        <v>5277</v>
      </c>
    </row>
    <row r="228" spans="1:13" x14ac:dyDescent="0.35">
      <c r="A228" t="s">
        <v>239</v>
      </c>
      <c r="B228" t="s">
        <v>739</v>
      </c>
      <c r="C228" t="s">
        <v>1015</v>
      </c>
      <c r="D228" t="s">
        <v>1019</v>
      </c>
      <c r="E228">
        <v>75319</v>
      </c>
      <c r="F228">
        <v>16021.500168080151</v>
      </c>
      <c r="G228" t="s">
        <v>1023</v>
      </c>
      <c r="H228" s="3">
        <v>45386</v>
      </c>
      <c r="I228" s="3">
        <v>44944</v>
      </c>
      <c r="J228" s="3">
        <v>45374</v>
      </c>
      <c r="K228" t="s">
        <v>1026</v>
      </c>
      <c r="L228">
        <v>57</v>
      </c>
      <c r="M228">
        <v>10566</v>
      </c>
    </row>
    <row r="229" spans="1:13" x14ac:dyDescent="0.35">
      <c r="A229" t="s">
        <v>240</v>
      </c>
      <c r="B229" t="s">
        <v>740</v>
      </c>
      <c r="C229" t="s">
        <v>1016</v>
      </c>
      <c r="D229" t="s">
        <v>1017</v>
      </c>
      <c r="E229">
        <v>19368</v>
      </c>
      <c r="F229">
        <v>44984.980629165562</v>
      </c>
      <c r="G229" t="s">
        <v>1023</v>
      </c>
      <c r="H229" s="3">
        <v>45361</v>
      </c>
      <c r="I229" s="3">
        <v>45223</v>
      </c>
      <c r="J229" s="3">
        <v>45643</v>
      </c>
      <c r="K229" t="s">
        <v>1025</v>
      </c>
      <c r="L229">
        <v>20</v>
      </c>
      <c r="M229">
        <v>14738</v>
      </c>
    </row>
    <row r="230" spans="1:13" x14ac:dyDescent="0.35">
      <c r="A230" t="s">
        <v>241</v>
      </c>
      <c r="B230" t="s">
        <v>741</v>
      </c>
      <c r="C230" t="s">
        <v>1015</v>
      </c>
      <c r="D230" t="s">
        <v>1019</v>
      </c>
      <c r="E230">
        <v>17328</v>
      </c>
      <c r="F230">
        <v>28484.22748938706</v>
      </c>
      <c r="G230" t="s">
        <v>1024</v>
      </c>
      <c r="H230" s="3">
        <v>45524</v>
      </c>
      <c r="I230" s="3">
        <v>45152</v>
      </c>
      <c r="J230" s="3">
        <v>45599</v>
      </c>
      <c r="K230" t="s">
        <v>1026</v>
      </c>
      <c r="L230">
        <v>39</v>
      </c>
      <c r="M230">
        <v>13889</v>
      </c>
    </row>
    <row r="231" spans="1:13" x14ac:dyDescent="0.35">
      <c r="A231" t="s">
        <v>242</v>
      </c>
      <c r="B231" t="s">
        <v>742</v>
      </c>
      <c r="C231" t="s">
        <v>1015</v>
      </c>
      <c r="D231" t="s">
        <v>1019</v>
      </c>
      <c r="E231">
        <v>58942</v>
      </c>
      <c r="F231">
        <v>47381.836747738947</v>
      </c>
      <c r="G231" t="s">
        <v>1023</v>
      </c>
      <c r="H231" s="3">
        <v>45484</v>
      </c>
      <c r="I231" s="3">
        <v>45047</v>
      </c>
      <c r="J231" s="3">
        <v>45339</v>
      </c>
      <c r="K231" t="s">
        <v>1025</v>
      </c>
      <c r="L231">
        <v>47</v>
      </c>
      <c r="M231">
        <v>9951</v>
      </c>
    </row>
    <row r="232" spans="1:13" x14ac:dyDescent="0.35">
      <c r="A232" t="s">
        <v>243</v>
      </c>
      <c r="B232" t="s">
        <v>743</v>
      </c>
      <c r="C232" t="s">
        <v>1016</v>
      </c>
      <c r="D232" t="s">
        <v>1020</v>
      </c>
      <c r="E232">
        <v>93751</v>
      </c>
      <c r="F232">
        <v>42472.676446420272</v>
      </c>
      <c r="G232" t="s">
        <v>1023</v>
      </c>
      <c r="H232" s="3">
        <v>45335</v>
      </c>
      <c r="I232" s="3">
        <v>45187</v>
      </c>
      <c r="J232" s="3">
        <v>45602</v>
      </c>
      <c r="K232" t="s">
        <v>1026</v>
      </c>
      <c r="L232">
        <v>35</v>
      </c>
      <c r="M232">
        <v>13254</v>
      </c>
    </row>
    <row r="233" spans="1:13" x14ac:dyDescent="0.35">
      <c r="A233" t="s">
        <v>244</v>
      </c>
      <c r="B233" t="s">
        <v>744</v>
      </c>
      <c r="C233" t="s">
        <v>1014</v>
      </c>
      <c r="D233" t="s">
        <v>1021</v>
      </c>
      <c r="E233">
        <v>29306</v>
      </c>
      <c r="F233">
        <v>43700.420988487327</v>
      </c>
      <c r="G233" t="s">
        <v>1023</v>
      </c>
      <c r="H233" s="3">
        <v>45557</v>
      </c>
      <c r="I233" s="3">
        <v>44931</v>
      </c>
      <c r="J233" s="3">
        <v>45582</v>
      </c>
      <c r="K233" t="s">
        <v>1025</v>
      </c>
      <c r="L233">
        <v>66</v>
      </c>
      <c r="M233">
        <v>6690</v>
      </c>
    </row>
    <row r="234" spans="1:13" x14ac:dyDescent="0.35">
      <c r="A234" t="s">
        <v>245</v>
      </c>
      <c r="B234" t="s">
        <v>745</v>
      </c>
      <c r="C234" t="s">
        <v>1014</v>
      </c>
      <c r="D234" t="s">
        <v>1018</v>
      </c>
      <c r="E234">
        <v>87451</v>
      </c>
      <c r="F234">
        <v>62886.980799784957</v>
      </c>
      <c r="G234" t="s">
        <v>1023</v>
      </c>
      <c r="H234" s="3">
        <v>45426</v>
      </c>
      <c r="I234" s="3">
        <v>45239</v>
      </c>
      <c r="J234" s="3">
        <v>45532</v>
      </c>
      <c r="K234" t="s">
        <v>1026</v>
      </c>
      <c r="L234">
        <v>36</v>
      </c>
      <c r="M234">
        <v>13442</v>
      </c>
    </row>
    <row r="235" spans="1:13" x14ac:dyDescent="0.35">
      <c r="A235" t="s">
        <v>246</v>
      </c>
      <c r="B235" t="s">
        <v>746</v>
      </c>
      <c r="C235" t="s">
        <v>1014</v>
      </c>
      <c r="D235" t="s">
        <v>1020</v>
      </c>
      <c r="E235">
        <v>41915</v>
      </c>
      <c r="F235">
        <v>22157.708286341742</v>
      </c>
      <c r="G235" t="s">
        <v>1023</v>
      </c>
      <c r="H235" s="3">
        <v>45435</v>
      </c>
      <c r="I235" s="3">
        <v>45262</v>
      </c>
      <c r="J235" s="3">
        <v>45615</v>
      </c>
      <c r="K235" t="s">
        <v>1026</v>
      </c>
      <c r="L235">
        <v>59</v>
      </c>
      <c r="M235">
        <v>6595</v>
      </c>
    </row>
    <row r="236" spans="1:13" x14ac:dyDescent="0.35">
      <c r="A236" t="s">
        <v>247</v>
      </c>
      <c r="B236" t="s">
        <v>747</v>
      </c>
      <c r="C236" t="s">
        <v>1014</v>
      </c>
      <c r="D236" t="s">
        <v>1020</v>
      </c>
      <c r="E236">
        <v>39219</v>
      </c>
      <c r="F236">
        <v>19551.342934540909</v>
      </c>
      <c r="G236" t="s">
        <v>1023</v>
      </c>
      <c r="H236" s="3">
        <v>45456</v>
      </c>
      <c r="I236" s="3">
        <v>45148</v>
      </c>
      <c r="J236" s="3">
        <v>45386</v>
      </c>
      <c r="K236" t="s">
        <v>1025</v>
      </c>
      <c r="L236">
        <v>47</v>
      </c>
      <c r="M236">
        <v>6559</v>
      </c>
    </row>
    <row r="237" spans="1:13" x14ac:dyDescent="0.35">
      <c r="A237" t="s">
        <v>248</v>
      </c>
      <c r="B237" t="s">
        <v>748</v>
      </c>
      <c r="C237" t="s">
        <v>1014</v>
      </c>
      <c r="D237" t="s">
        <v>1021</v>
      </c>
      <c r="E237">
        <v>82879</v>
      </c>
      <c r="F237">
        <v>43432.036863662113</v>
      </c>
      <c r="G237" t="s">
        <v>1022</v>
      </c>
      <c r="H237" s="3">
        <v>45471</v>
      </c>
      <c r="I237" s="3">
        <v>45291</v>
      </c>
      <c r="J237" s="3">
        <v>45334</v>
      </c>
      <c r="K237" t="s">
        <v>1025</v>
      </c>
      <c r="L237">
        <v>31</v>
      </c>
      <c r="M237">
        <v>9291</v>
      </c>
    </row>
    <row r="238" spans="1:13" x14ac:dyDescent="0.35">
      <c r="A238" t="s">
        <v>249</v>
      </c>
      <c r="B238" t="s">
        <v>749</v>
      </c>
      <c r="C238" t="s">
        <v>1016</v>
      </c>
      <c r="D238" t="s">
        <v>1018</v>
      </c>
      <c r="E238">
        <v>66644</v>
      </c>
      <c r="F238">
        <v>53955.800586543199</v>
      </c>
      <c r="G238" t="s">
        <v>1023</v>
      </c>
      <c r="H238" s="3">
        <v>45292</v>
      </c>
      <c r="I238" s="3">
        <v>44937</v>
      </c>
      <c r="J238" s="3">
        <v>45372</v>
      </c>
      <c r="K238" t="s">
        <v>1025</v>
      </c>
      <c r="L238">
        <v>46</v>
      </c>
      <c r="M238">
        <v>10160</v>
      </c>
    </row>
    <row r="239" spans="1:13" x14ac:dyDescent="0.35">
      <c r="A239" t="s">
        <v>250</v>
      </c>
      <c r="B239" t="s">
        <v>750</v>
      </c>
      <c r="C239" t="s">
        <v>1016</v>
      </c>
      <c r="D239" t="s">
        <v>1017</v>
      </c>
      <c r="E239">
        <v>62279</v>
      </c>
      <c r="F239">
        <v>12073.33115256909</v>
      </c>
      <c r="G239" t="s">
        <v>1023</v>
      </c>
      <c r="H239" s="3">
        <v>45310</v>
      </c>
      <c r="I239" s="3">
        <v>45178</v>
      </c>
      <c r="J239" s="3">
        <v>45351</v>
      </c>
      <c r="K239" t="s">
        <v>1025</v>
      </c>
      <c r="L239">
        <v>61</v>
      </c>
      <c r="M239">
        <v>2112</v>
      </c>
    </row>
    <row r="240" spans="1:13" x14ac:dyDescent="0.35">
      <c r="A240" t="s">
        <v>251</v>
      </c>
      <c r="B240" t="s">
        <v>751</v>
      </c>
      <c r="C240" t="s">
        <v>1013</v>
      </c>
      <c r="D240" t="s">
        <v>1017</v>
      </c>
      <c r="E240">
        <v>55028</v>
      </c>
      <c r="F240">
        <v>3815.959568392665</v>
      </c>
      <c r="G240" t="s">
        <v>1023</v>
      </c>
      <c r="H240" s="3">
        <v>45407</v>
      </c>
      <c r="I240" s="3">
        <v>45196</v>
      </c>
      <c r="J240" s="3">
        <v>45508</v>
      </c>
      <c r="K240" t="s">
        <v>1026</v>
      </c>
      <c r="L240">
        <v>66</v>
      </c>
      <c r="M240">
        <v>7131</v>
      </c>
    </row>
    <row r="241" spans="1:13" x14ac:dyDescent="0.35">
      <c r="A241" t="s">
        <v>252</v>
      </c>
      <c r="B241" t="s">
        <v>752</v>
      </c>
      <c r="C241" t="s">
        <v>1014</v>
      </c>
      <c r="D241" t="s">
        <v>1020</v>
      </c>
      <c r="E241">
        <v>2126</v>
      </c>
      <c r="F241">
        <v>51477.790163358128</v>
      </c>
      <c r="G241" t="s">
        <v>1022</v>
      </c>
      <c r="H241" s="3">
        <v>45415</v>
      </c>
      <c r="I241" s="3">
        <v>44987</v>
      </c>
      <c r="J241" s="3">
        <v>45631</v>
      </c>
      <c r="K241" t="s">
        <v>1026</v>
      </c>
      <c r="L241">
        <v>49</v>
      </c>
      <c r="M241">
        <v>5197</v>
      </c>
    </row>
    <row r="242" spans="1:13" x14ac:dyDescent="0.35">
      <c r="A242" t="s">
        <v>253</v>
      </c>
      <c r="B242" t="s">
        <v>753</v>
      </c>
      <c r="C242" t="s">
        <v>1016</v>
      </c>
      <c r="D242" t="s">
        <v>1018</v>
      </c>
      <c r="E242">
        <v>54329</v>
      </c>
      <c r="F242">
        <v>36816.213777696132</v>
      </c>
      <c r="G242" t="s">
        <v>1022</v>
      </c>
      <c r="H242" s="3">
        <v>45502</v>
      </c>
      <c r="I242" s="3">
        <v>45203</v>
      </c>
      <c r="J242" s="3">
        <v>45342</v>
      </c>
      <c r="K242" t="s">
        <v>1025</v>
      </c>
      <c r="L242">
        <v>60</v>
      </c>
      <c r="M242">
        <v>12570</v>
      </c>
    </row>
    <row r="243" spans="1:13" x14ac:dyDescent="0.35">
      <c r="A243" t="s">
        <v>254</v>
      </c>
      <c r="B243" t="s">
        <v>754</v>
      </c>
      <c r="C243" t="s">
        <v>1013</v>
      </c>
      <c r="D243" t="s">
        <v>1020</v>
      </c>
      <c r="E243">
        <v>29632</v>
      </c>
      <c r="F243">
        <v>69147.310942517157</v>
      </c>
      <c r="G243" t="s">
        <v>1023</v>
      </c>
      <c r="H243" s="3">
        <v>45447</v>
      </c>
      <c r="I243" s="3">
        <v>44955</v>
      </c>
      <c r="J243" s="3">
        <v>45628</v>
      </c>
      <c r="K243" t="s">
        <v>1026</v>
      </c>
      <c r="L243">
        <v>53</v>
      </c>
      <c r="M243">
        <v>12116</v>
      </c>
    </row>
    <row r="244" spans="1:13" x14ac:dyDescent="0.35">
      <c r="A244" t="s">
        <v>255</v>
      </c>
      <c r="B244" t="s">
        <v>755</v>
      </c>
      <c r="C244" t="s">
        <v>1014</v>
      </c>
      <c r="D244" t="s">
        <v>1019</v>
      </c>
      <c r="E244">
        <v>67310</v>
      </c>
      <c r="F244">
        <v>9955.4839780990769</v>
      </c>
      <c r="G244" t="s">
        <v>1022</v>
      </c>
      <c r="H244" s="3">
        <v>45584</v>
      </c>
      <c r="I244" s="3">
        <v>45181</v>
      </c>
      <c r="J244" s="3">
        <v>45428</v>
      </c>
      <c r="K244" t="s">
        <v>1025</v>
      </c>
      <c r="L244">
        <v>56</v>
      </c>
      <c r="M244">
        <v>2139</v>
      </c>
    </row>
    <row r="245" spans="1:13" x14ac:dyDescent="0.35">
      <c r="A245" t="s">
        <v>256</v>
      </c>
      <c r="B245" t="s">
        <v>756</v>
      </c>
      <c r="C245" t="s">
        <v>1015</v>
      </c>
      <c r="D245" t="s">
        <v>1020</v>
      </c>
      <c r="E245">
        <v>57176</v>
      </c>
      <c r="F245">
        <v>0</v>
      </c>
      <c r="G245" t="s">
        <v>1023</v>
      </c>
      <c r="H245" s="3">
        <v>45295</v>
      </c>
      <c r="I245" s="3">
        <v>45022</v>
      </c>
      <c r="J245" s="3">
        <v>45507</v>
      </c>
      <c r="K245" t="s">
        <v>1025</v>
      </c>
      <c r="L245">
        <v>25</v>
      </c>
      <c r="M245">
        <v>3424</v>
      </c>
    </row>
    <row r="246" spans="1:13" x14ac:dyDescent="0.35">
      <c r="A246" t="s">
        <v>257</v>
      </c>
      <c r="B246" t="s">
        <v>757</v>
      </c>
      <c r="C246" t="s">
        <v>1013</v>
      </c>
      <c r="D246" t="s">
        <v>1020</v>
      </c>
      <c r="E246">
        <v>88066</v>
      </c>
      <c r="F246">
        <v>42653.869373243993</v>
      </c>
      <c r="G246" t="s">
        <v>1023</v>
      </c>
      <c r="H246" s="3">
        <v>45561</v>
      </c>
      <c r="I246" s="3">
        <v>45164</v>
      </c>
      <c r="J246" s="3">
        <v>45436</v>
      </c>
      <c r="K246" t="s">
        <v>1026</v>
      </c>
      <c r="L246">
        <v>26</v>
      </c>
      <c r="M246">
        <v>4949</v>
      </c>
    </row>
    <row r="247" spans="1:13" x14ac:dyDescent="0.35">
      <c r="A247" t="s">
        <v>258</v>
      </c>
      <c r="B247" t="s">
        <v>758</v>
      </c>
      <c r="C247" t="s">
        <v>1016</v>
      </c>
      <c r="D247" t="s">
        <v>1017</v>
      </c>
      <c r="E247">
        <v>46327</v>
      </c>
      <c r="F247">
        <v>63639.641333195214</v>
      </c>
      <c r="G247" t="s">
        <v>1023</v>
      </c>
      <c r="H247" s="3">
        <v>45303</v>
      </c>
      <c r="I247" s="3">
        <v>45058</v>
      </c>
      <c r="J247" s="3">
        <v>45363</v>
      </c>
      <c r="K247" t="s">
        <v>1026</v>
      </c>
      <c r="L247">
        <v>51</v>
      </c>
      <c r="M247">
        <v>5168</v>
      </c>
    </row>
    <row r="248" spans="1:13" x14ac:dyDescent="0.35">
      <c r="A248" t="s">
        <v>259</v>
      </c>
      <c r="B248" t="s">
        <v>759</v>
      </c>
      <c r="C248" t="s">
        <v>1015</v>
      </c>
      <c r="D248" t="s">
        <v>1017</v>
      </c>
      <c r="E248">
        <v>70904</v>
      </c>
      <c r="F248">
        <v>82123.376765415887</v>
      </c>
      <c r="G248" t="s">
        <v>1023</v>
      </c>
      <c r="H248" s="3">
        <v>45547</v>
      </c>
      <c r="I248" s="3">
        <v>45111</v>
      </c>
      <c r="J248" s="3">
        <v>45443</v>
      </c>
      <c r="K248" t="s">
        <v>1025</v>
      </c>
      <c r="L248">
        <v>51</v>
      </c>
      <c r="M248">
        <v>10708</v>
      </c>
    </row>
    <row r="249" spans="1:13" x14ac:dyDescent="0.35">
      <c r="A249" t="s">
        <v>260</v>
      </c>
      <c r="B249" t="s">
        <v>760</v>
      </c>
      <c r="C249" t="s">
        <v>1015</v>
      </c>
      <c r="D249" t="s">
        <v>1017</v>
      </c>
      <c r="E249">
        <v>5797</v>
      </c>
      <c r="F249">
        <v>32914.682970554917</v>
      </c>
      <c r="G249" t="s">
        <v>1023</v>
      </c>
      <c r="H249" s="3">
        <v>45504</v>
      </c>
      <c r="I249" s="3">
        <v>45261</v>
      </c>
      <c r="J249" s="3">
        <v>45334</v>
      </c>
      <c r="K249" t="s">
        <v>1025</v>
      </c>
      <c r="L249">
        <v>44</v>
      </c>
      <c r="M249">
        <v>12808</v>
      </c>
    </row>
    <row r="250" spans="1:13" x14ac:dyDescent="0.35">
      <c r="A250" t="s">
        <v>261</v>
      </c>
      <c r="B250" t="s">
        <v>761</v>
      </c>
      <c r="C250" t="s">
        <v>1015</v>
      </c>
      <c r="D250" t="s">
        <v>1019</v>
      </c>
      <c r="E250">
        <v>49882</v>
      </c>
      <c r="F250">
        <v>9881.0329075439513</v>
      </c>
      <c r="G250" t="s">
        <v>1024</v>
      </c>
      <c r="H250" s="3">
        <v>45511</v>
      </c>
      <c r="I250" s="3">
        <v>44992</v>
      </c>
      <c r="J250" s="3">
        <v>45536</v>
      </c>
      <c r="K250" t="s">
        <v>1025</v>
      </c>
      <c r="L250">
        <v>52</v>
      </c>
      <c r="M250">
        <v>8043</v>
      </c>
    </row>
    <row r="251" spans="1:13" x14ac:dyDescent="0.35">
      <c r="A251" t="s">
        <v>262</v>
      </c>
      <c r="B251" t="s">
        <v>762</v>
      </c>
      <c r="C251" t="s">
        <v>1013</v>
      </c>
      <c r="D251" t="s">
        <v>1017</v>
      </c>
      <c r="E251">
        <v>15718</v>
      </c>
      <c r="F251">
        <v>3314.507719365125</v>
      </c>
      <c r="G251" t="s">
        <v>1022</v>
      </c>
      <c r="H251" s="3">
        <v>45574</v>
      </c>
      <c r="I251" s="3">
        <v>45105</v>
      </c>
      <c r="J251" s="3">
        <v>45335</v>
      </c>
      <c r="K251" t="s">
        <v>1026</v>
      </c>
      <c r="L251">
        <v>26</v>
      </c>
      <c r="M251">
        <v>8989</v>
      </c>
    </row>
    <row r="252" spans="1:13" x14ac:dyDescent="0.35">
      <c r="A252" t="s">
        <v>263</v>
      </c>
      <c r="B252" t="s">
        <v>763</v>
      </c>
      <c r="C252" t="s">
        <v>1016</v>
      </c>
      <c r="D252" t="s">
        <v>1018</v>
      </c>
      <c r="E252">
        <v>36560</v>
      </c>
      <c r="F252">
        <v>81942.97205572181</v>
      </c>
      <c r="G252" t="s">
        <v>1023</v>
      </c>
      <c r="H252" s="3">
        <v>45452</v>
      </c>
      <c r="I252" s="3">
        <v>45115</v>
      </c>
      <c r="J252" s="3">
        <v>45655</v>
      </c>
      <c r="K252" t="s">
        <v>1026</v>
      </c>
      <c r="L252">
        <v>31</v>
      </c>
      <c r="M252">
        <v>9236</v>
      </c>
    </row>
    <row r="253" spans="1:13" x14ac:dyDescent="0.35">
      <c r="A253" t="s">
        <v>264</v>
      </c>
      <c r="B253" t="s">
        <v>764</v>
      </c>
      <c r="C253" t="s">
        <v>1015</v>
      </c>
      <c r="D253" t="s">
        <v>1021</v>
      </c>
      <c r="E253">
        <v>78589</v>
      </c>
      <c r="F253">
        <v>16037.632972293761</v>
      </c>
      <c r="G253" t="s">
        <v>1023</v>
      </c>
      <c r="H253" s="3">
        <v>45355</v>
      </c>
      <c r="I253" s="3">
        <v>45166</v>
      </c>
      <c r="J253" s="3">
        <v>45533</v>
      </c>
      <c r="K253" t="s">
        <v>1026</v>
      </c>
      <c r="L253">
        <v>35</v>
      </c>
      <c r="M253">
        <v>8261</v>
      </c>
    </row>
    <row r="254" spans="1:13" x14ac:dyDescent="0.35">
      <c r="A254" t="s">
        <v>265</v>
      </c>
      <c r="B254" t="s">
        <v>765</v>
      </c>
      <c r="C254" t="s">
        <v>1014</v>
      </c>
      <c r="D254" t="s">
        <v>1018</v>
      </c>
      <c r="E254">
        <v>24116</v>
      </c>
      <c r="F254">
        <v>2367.47140294168</v>
      </c>
      <c r="G254" t="s">
        <v>1023</v>
      </c>
      <c r="H254" s="3">
        <v>45540</v>
      </c>
      <c r="I254" s="3">
        <v>44953</v>
      </c>
      <c r="J254" s="3">
        <v>45325</v>
      </c>
      <c r="K254" t="s">
        <v>1026</v>
      </c>
      <c r="L254">
        <v>35</v>
      </c>
      <c r="M254">
        <v>2887</v>
      </c>
    </row>
    <row r="255" spans="1:13" x14ac:dyDescent="0.35">
      <c r="A255" t="s">
        <v>266</v>
      </c>
      <c r="B255" t="s">
        <v>766</v>
      </c>
      <c r="C255" t="s">
        <v>1015</v>
      </c>
      <c r="D255" t="s">
        <v>1018</v>
      </c>
      <c r="E255">
        <v>38244</v>
      </c>
      <c r="F255">
        <v>11006.6705649385</v>
      </c>
      <c r="G255" t="s">
        <v>1023</v>
      </c>
      <c r="H255" s="3">
        <v>45508</v>
      </c>
      <c r="I255" s="3">
        <v>44959</v>
      </c>
      <c r="J255" s="3">
        <v>45585</v>
      </c>
      <c r="K255" t="s">
        <v>1025</v>
      </c>
      <c r="L255">
        <v>62</v>
      </c>
      <c r="M255">
        <v>5104</v>
      </c>
    </row>
    <row r="256" spans="1:13" x14ac:dyDescent="0.35">
      <c r="A256" t="s">
        <v>267</v>
      </c>
      <c r="B256" t="s">
        <v>767</v>
      </c>
      <c r="C256" t="s">
        <v>1015</v>
      </c>
      <c r="D256" t="s">
        <v>1017</v>
      </c>
      <c r="E256">
        <v>3645</v>
      </c>
      <c r="F256">
        <v>26004.60746653087</v>
      </c>
      <c r="G256" t="s">
        <v>1023</v>
      </c>
      <c r="H256" s="3">
        <v>45442</v>
      </c>
      <c r="I256" s="3">
        <v>45132</v>
      </c>
      <c r="J256" s="3">
        <v>45609</v>
      </c>
      <c r="K256" t="s">
        <v>1025</v>
      </c>
      <c r="L256">
        <v>55</v>
      </c>
      <c r="M256">
        <v>2049</v>
      </c>
    </row>
    <row r="257" spans="1:13" x14ac:dyDescent="0.35">
      <c r="A257" t="s">
        <v>268</v>
      </c>
      <c r="B257" t="s">
        <v>768</v>
      </c>
      <c r="C257" t="s">
        <v>1013</v>
      </c>
      <c r="D257" t="s">
        <v>1021</v>
      </c>
      <c r="E257">
        <v>49523</v>
      </c>
      <c r="F257">
        <v>57192.079843978878</v>
      </c>
      <c r="G257" t="s">
        <v>1023</v>
      </c>
      <c r="H257" s="3">
        <v>45425</v>
      </c>
      <c r="I257" s="3">
        <v>45074</v>
      </c>
      <c r="J257" s="3">
        <v>45535</v>
      </c>
      <c r="K257" t="s">
        <v>1025</v>
      </c>
      <c r="L257">
        <v>32</v>
      </c>
      <c r="M257">
        <v>5951</v>
      </c>
    </row>
    <row r="258" spans="1:13" x14ac:dyDescent="0.35">
      <c r="A258" t="s">
        <v>269</v>
      </c>
      <c r="B258" t="s">
        <v>769</v>
      </c>
      <c r="C258" t="s">
        <v>1013</v>
      </c>
      <c r="D258" t="s">
        <v>1021</v>
      </c>
      <c r="E258">
        <v>21256</v>
      </c>
      <c r="F258">
        <v>64994.142327180241</v>
      </c>
      <c r="G258" t="s">
        <v>1023</v>
      </c>
      <c r="H258" s="3">
        <v>45376</v>
      </c>
      <c r="I258" s="3">
        <v>44970</v>
      </c>
      <c r="J258" s="3">
        <v>45598</v>
      </c>
      <c r="K258" t="s">
        <v>1025</v>
      </c>
      <c r="L258">
        <v>26</v>
      </c>
      <c r="M258">
        <v>5560</v>
      </c>
    </row>
    <row r="259" spans="1:13" x14ac:dyDescent="0.35">
      <c r="A259" t="s">
        <v>270</v>
      </c>
      <c r="B259" t="s">
        <v>770</v>
      </c>
      <c r="C259" t="s">
        <v>1016</v>
      </c>
      <c r="D259" t="s">
        <v>1021</v>
      </c>
      <c r="E259">
        <v>55173</v>
      </c>
      <c r="F259">
        <v>82361.606078674144</v>
      </c>
      <c r="G259" t="s">
        <v>1022</v>
      </c>
      <c r="H259" s="3">
        <v>45498</v>
      </c>
      <c r="I259" s="3">
        <v>45080</v>
      </c>
      <c r="J259" s="3">
        <v>45443</v>
      </c>
      <c r="K259" t="s">
        <v>1025</v>
      </c>
      <c r="L259">
        <v>55</v>
      </c>
      <c r="M259">
        <v>2018</v>
      </c>
    </row>
    <row r="260" spans="1:13" x14ac:dyDescent="0.35">
      <c r="A260" t="s">
        <v>271</v>
      </c>
      <c r="B260" t="s">
        <v>771</v>
      </c>
      <c r="C260" t="s">
        <v>1014</v>
      </c>
      <c r="D260" t="s">
        <v>1019</v>
      </c>
      <c r="E260">
        <v>39430</v>
      </c>
      <c r="F260">
        <v>5240.9683119941656</v>
      </c>
      <c r="G260" t="s">
        <v>1023</v>
      </c>
      <c r="H260" s="3">
        <v>45371</v>
      </c>
      <c r="I260" s="3">
        <v>45130</v>
      </c>
      <c r="J260" s="3">
        <v>45349</v>
      </c>
      <c r="K260" t="s">
        <v>1025</v>
      </c>
      <c r="L260">
        <v>66</v>
      </c>
      <c r="M260">
        <v>6821</v>
      </c>
    </row>
    <row r="261" spans="1:13" x14ac:dyDescent="0.35">
      <c r="A261" t="s">
        <v>272</v>
      </c>
      <c r="B261" t="s">
        <v>772</v>
      </c>
      <c r="C261" t="s">
        <v>1013</v>
      </c>
      <c r="D261" t="s">
        <v>1017</v>
      </c>
      <c r="E261">
        <v>41282</v>
      </c>
      <c r="F261">
        <v>18841.881659768242</v>
      </c>
      <c r="G261" t="s">
        <v>1023</v>
      </c>
      <c r="H261" s="3">
        <v>45439</v>
      </c>
      <c r="I261" s="3">
        <v>44964</v>
      </c>
      <c r="J261" s="3">
        <v>45637</v>
      </c>
      <c r="K261" t="s">
        <v>1026</v>
      </c>
      <c r="L261">
        <v>28</v>
      </c>
      <c r="M261">
        <v>8340</v>
      </c>
    </row>
    <row r="262" spans="1:13" x14ac:dyDescent="0.35">
      <c r="A262" t="s">
        <v>273</v>
      </c>
      <c r="B262" t="s">
        <v>773</v>
      </c>
      <c r="C262" t="s">
        <v>1015</v>
      </c>
      <c r="D262" t="s">
        <v>1021</v>
      </c>
      <c r="E262">
        <v>65374</v>
      </c>
      <c r="F262">
        <v>48114.674036673947</v>
      </c>
      <c r="G262" t="s">
        <v>1022</v>
      </c>
      <c r="H262" s="3">
        <v>45512</v>
      </c>
      <c r="I262" s="3">
        <v>45207</v>
      </c>
      <c r="J262" s="3">
        <v>45542</v>
      </c>
      <c r="K262" t="s">
        <v>1026</v>
      </c>
      <c r="L262">
        <v>51</v>
      </c>
      <c r="M262">
        <v>10058</v>
      </c>
    </row>
    <row r="263" spans="1:13" x14ac:dyDescent="0.35">
      <c r="A263" t="s">
        <v>274</v>
      </c>
      <c r="B263" t="s">
        <v>774</v>
      </c>
      <c r="C263" t="s">
        <v>1016</v>
      </c>
      <c r="D263" t="s">
        <v>1019</v>
      </c>
      <c r="E263">
        <v>70244</v>
      </c>
      <c r="F263">
        <v>98623.096601434227</v>
      </c>
      <c r="G263" t="s">
        <v>1023</v>
      </c>
      <c r="H263" s="3">
        <v>45368</v>
      </c>
      <c r="I263" s="3">
        <v>45275</v>
      </c>
      <c r="J263" s="3">
        <v>45532</v>
      </c>
      <c r="K263" t="s">
        <v>1025</v>
      </c>
      <c r="L263">
        <v>30</v>
      </c>
      <c r="M263">
        <v>11665</v>
      </c>
    </row>
    <row r="264" spans="1:13" x14ac:dyDescent="0.35">
      <c r="A264" t="s">
        <v>275</v>
      </c>
      <c r="B264" t="s">
        <v>775</v>
      </c>
      <c r="C264" t="s">
        <v>1015</v>
      </c>
      <c r="D264" t="s">
        <v>1020</v>
      </c>
      <c r="E264">
        <v>13694</v>
      </c>
      <c r="F264">
        <v>0</v>
      </c>
      <c r="G264" t="s">
        <v>1023</v>
      </c>
      <c r="H264" s="3">
        <v>45400</v>
      </c>
      <c r="I264" s="3">
        <v>44959</v>
      </c>
      <c r="J264" s="3">
        <v>45511</v>
      </c>
      <c r="K264" t="s">
        <v>1025</v>
      </c>
      <c r="L264">
        <v>27</v>
      </c>
      <c r="M264">
        <v>14253</v>
      </c>
    </row>
    <row r="265" spans="1:13" x14ac:dyDescent="0.35">
      <c r="A265" t="s">
        <v>276</v>
      </c>
      <c r="B265" t="s">
        <v>776</v>
      </c>
      <c r="C265" t="s">
        <v>1015</v>
      </c>
      <c r="D265" t="s">
        <v>1020</v>
      </c>
      <c r="E265">
        <v>58264</v>
      </c>
      <c r="F265">
        <v>64388.833050520247</v>
      </c>
      <c r="G265" t="s">
        <v>1023</v>
      </c>
      <c r="H265" s="3">
        <v>45395</v>
      </c>
      <c r="I265" s="3">
        <v>45288</v>
      </c>
      <c r="J265" s="3">
        <v>45303</v>
      </c>
      <c r="K265" t="s">
        <v>1026</v>
      </c>
      <c r="L265">
        <v>52</v>
      </c>
      <c r="M265">
        <v>4606</v>
      </c>
    </row>
    <row r="266" spans="1:13" x14ac:dyDescent="0.35">
      <c r="A266" t="s">
        <v>277</v>
      </c>
      <c r="B266" t="s">
        <v>777</v>
      </c>
      <c r="C266" t="s">
        <v>1013</v>
      </c>
      <c r="D266" t="s">
        <v>1019</v>
      </c>
      <c r="E266">
        <v>77060</v>
      </c>
      <c r="F266">
        <v>29505.965782073821</v>
      </c>
      <c r="G266" t="s">
        <v>1023</v>
      </c>
      <c r="H266" s="3">
        <v>45454</v>
      </c>
      <c r="I266" s="3">
        <v>44948</v>
      </c>
      <c r="J266" s="3">
        <v>45565</v>
      </c>
      <c r="K266" t="s">
        <v>1026</v>
      </c>
      <c r="L266">
        <v>42</v>
      </c>
      <c r="M266">
        <v>9846</v>
      </c>
    </row>
    <row r="267" spans="1:13" x14ac:dyDescent="0.35">
      <c r="A267" t="s">
        <v>278</v>
      </c>
      <c r="B267" t="s">
        <v>778</v>
      </c>
      <c r="C267" t="s">
        <v>1016</v>
      </c>
      <c r="D267" t="s">
        <v>1019</v>
      </c>
      <c r="E267">
        <v>99416</v>
      </c>
      <c r="F267">
        <v>39302.789037381379</v>
      </c>
      <c r="G267" t="s">
        <v>1022</v>
      </c>
      <c r="H267" s="3">
        <v>45397</v>
      </c>
      <c r="I267" s="3">
        <v>45159</v>
      </c>
      <c r="J267" s="3">
        <v>45573</v>
      </c>
      <c r="K267" t="s">
        <v>1026</v>
      </c>
      <c r="L267">
        <v>44</v>
      </c>
      <c r="M267">
        <v>10643</v>
      </c>
    </row>
    <row r="268" spans="1:13" x14ac:dyDescent="0.35">
      <c r="A268" t="s">
        <v>279</v>
      </c>
      <c r="B268" t="s">
        <v>779</v>
      </c>
      <c r="C268" t="s">
        <v>1014</v>
      </c>
      <c r="D268" t="s">
        <v>1017</v>
      </c>
      <c r="E268">
        <v>59545</v>
      </c>
      <c r="F268">
        <v>50002.730781948521</v>
      </c>
      <c r="G268" t="s">
        <v>1023</v>
      </c>
      <c r="H268" s="3">
        <v>45316</v>
      </c>
      <c r="I268" s="3">
        <v>45210</v>
      </c>
      <c r="J268" s="3">
        <v>45322</v>
      </c>
      <c r="K268" t="s">
        <v>1026</v>
      </c>
      <c r="L268">
        <v>27</v>
      </c>
      <c r="M268">
        <v>8432</v>
      </c>
    </row>
    <row r="269" spans="1:13" x14ac:dyDescent="0.35">
      <c r="A269" t="s">
        <v>280</v>
      </c>
      <c r="B269" t="s">
        <v>780</v>
      </c>
      <c r="C269" t="s">
        <v>1014</v>
      </c>
      <c r="D269" t="s">
        <v>1017</v>
      </c>
      <c r="E269">
        <v>41224</v>
      </c>
      <c r="F269">
        <v>14722.43247762761</v>
      </c>
      <c r="G269" t="s">
        <v>1023</v>
      </c>
      <c r="H269" s="3">
        <v>45303</v>
      </c>
      <c r="I269" s="3">
        <v>45054</v>
      </c>
      <c r="J269" s="3">
        <v>45589</v>
      </c>
      <c r="K269" t="s">
        <v>1025</v>
      </c>
      <c r="L269">
        <v>64</v>
      </c>
      <c r="M269">
        <v>5765</v>
      </c>
    </row>
    <row r="270" spans="1:13" x14ac:dyDescent="0.35">
      <c r="A270" t="s">
        <v>281</v>
      </c>
      <c r="B270" t="s">
        <v>781</v>
      </c>
      <c r="C270" t="s">
        <v>1013</v>
      </c>
      <c r="D270" t="s">
        <v>1020</v>
      </c>
      <c r="E270">
        <v>99945</v>
      </c>
      <c r="F270">
        <v>71924.096196914208</v>
      </c>
      <c r="G270" t="s">
        <v>1022</v>
      </c>
      <c r="H270" s="3">
        <v>45381</v>
      </c>
      <c r="I270" s="3">
        <v>45045</v>
      </c>
      <c r="J270" s="3">
        <v>45376</v>
      </c>
      <c r="K270" t="s">
        <v>1025</v>
      </c>
      <c r="L270">
        <v>41</v>
      </c>
      <c r="M270">
        <v>4438</v>
      </c>
    </row>
    <row r="271" spans="1:13" x14ac:dyDescent="0.35">
      <c r="A271" t="s">
        <v>282</v>
      </c>
      <c r="B271" t="s">
        <v>782</v>
      </c>
      <c r="C271" t="s">
        <v>1013</v>
      </c>
      <c r="D271" t="s">
        <v>1021</v>
      </c>
      <c r="E271">
        <v>15224</v>
      </c>
      <c r="F271">
        <v>54685.410282740821</v>
      </c>
      <c r="G271" t="s">
        <v>1022</v>
      </c>
      <c r="H271" s="3">
        <v>45460</v>
      </c>
      <c r="I271" s="3">
        <v>45034</v>
      </c>
      <c r="J271" s="3">
        <v>45467</v>
      </c>
      <c r="K271" t="s">
        <v>1025</v>
      </c>
      <c r="L271">
        <v>23</v>
      </c>
      <c r="M271">
        <v>14502</v>
      </c>
    </row>
    <row r="272" spans="1:13" x14ac:dyDescent="0.35">
      <c r="A272" t="s">
        <v>283</v>
      </c>
      <c r="B272" t="s">
        <v>783</v>
      </c>
      <c r="C272" t="s">
        <v>1016</v>
      </c>
      <c r="D272" t="s">
        <v>1020</v>
      </c>
      <c r="E272">
        <v>42738</v>
      </c>
      <c r="F272">
        <v>0</v>
      </c>
      <c r="G272" t="s">
        <v>1022</v>
      </c>
      <c r="H272" s="3">
        <v>45495</v>
      </c>
      <c r="I272" s="3">
        <v>45011</v>
      </c>
      <c r="J272" s="3">
        <v>45363</v>
      </c>
      <c r="K272" t="s">
        <v>1025</v>
      </c>
      <c r="L272">
        <v>59</v>
      </c>
      <c r="M272">
        <v>11741</v>
      </c>
    </row>
    <row r="273" spans="1:13" x14ac:dyDescent="0.35">
      <c r="A273" t="s">
        <v>284</v>
      </c>
      <c r="B273" t="s">
        <v>784</v>
      </c>
      <c r="C273" t="s">
        <v>1014</v>
      </c>
      <c r="D273" t="s">
        <v>1021</v>
      </c>
      <c r="E273">
        <v>27150</v>
      </c>
      <c r="F273">
        <v>0</v>
      </c>
      <c r="G273" t="s">
        <v>1023</v>
      </c>
      <c r="H273" s="3">
        <v>45529</v>
      </c>
      <c r="I273" s="3">
        <v>44950</v>
      </c>
      <c r="J273" s="3">
        <v>45335</v>
      </c>
      <c r="K273" t="s">
        <v>1025</v>
      </c>
      <c r="L273">
        <v>22</v>
      </c>
      <c r="M273">
        <v>8358</v>
      </c>
    </row>
    <row r="274" spans="1:13" x14ac:dyDescent="0.35">
      <c r="A274" t="s">
        <v>285</v>
      </c>
      <c r="B274" t="s">
        <v>785</v>
      </c>
      <c r="C274" t="s">
        <v>1014</v>
      </c>
      <c r="D274" t="s">
        <v>1021</v>
      </c>
      <c r="E274">
        <v>65731</v>
      </c>
      <c r="F274">
        <v>23331.086964636721</v>
      </c>
      <c r="G274" t="s">
        <v>1023</v>
      </c>
      <c r="H274" s="3">
        <v>45506</v>
      </c>
      <c r="I274" s="3">
        <v>45043</v>
      </c>
      <c r="J274" s="3">
        <v>45536</v>
      </c>
      <c r="K274" t="s">
        <v>1026</v>
      </c>
      <c r="L274">
        <v>48</v>
      </c>
      <c r="M274">
        <v>13666</v>
      </c>
    </row>
    <row r="275" spans="1:13" x14ac:dyDescent="0.35">
      <c r="A275" t="s">
        <v>286</v>
      </c>
      <c r="B275" t="s">
        <v>786</v>
      </c>
      <c r="C275" t="s">
        <v>1014</v>
      </c>
      <c r="D275" t="s">
        <v>1017</v>
      </c>
      <c r="E275">
        <v>51688</v>
      </c>
      <c r="F275">
        <v>35420.567571033564</v>
      </c>
      <c r="G275" t="s">
        <v>1024</v>
      </c>
      <c r="H275" s="3">
        <v>45373</v>
      </c>
      <c r="I275" s="3">
        <v>45205</v>
      </c>
      <c r="J275" s="3">
        <v>45595</v>
      </c>
      <c r="K275" t="s">
        <v>1025</v>
      </c>
      <c r="L275">
        <v>60</v>
      </c>
      <c r="M275">
        <v>10319</v>
      </c>
    </row>
    <row r="276" spans="1:13" x14ac:dyDescent="0.35">
      <c r="A276" t="s">
        <v>287</v>
      </c>
      <c r="B276" t="s">
        <v>787</v>
      </c>
      <c r="C276" t="s">
        <v>1015</v>
      </c>
      <c r="D276" t="s">
        <v>1018</v>
      </c>
      <c r="E276">
        <v>75509</v>
      </c>
      <c r="F276">
        <v>27293.931643951149</v>
      </c>
      <c r="G276" t="s">
        <v>1022</v>
      </c>
      <c r="H276" s="3">
        <v>45371</v>
      </c>
      <c r="I276" s="3">
        <v>44930</v>
      </c>
      <c r="J276" s="3">
        <v>45432</v>
      </c>
      <c r="K276" t="s">
        <v>1026</v>
      </c>
      <c r="L276">
        <v>48</v>
      </c>
      <c r="M276">
        <v>7941</v>
      </c>
    </row>
    <row r="277" spans="1:13" x14ac:dyDescent="0.35">
      <c r="A277" t="s">
        <v>288</v>
      </c>
      <c r="B277" t="s">
        <v>788</v>
      </c>
      <c r="C277" t="s">
        <v>1014</v>
      </c>
      <c r="D277" t="s">
        <v>1018</v>
      </c>
      <c r="E277">
        <v>10577</v>
      </c>
      <c r="F277">
        <v>29678.009683974469</v>
      </c>
      <c r="G277" t="s">
        <v>1023</v>
      </c>
      <c r="H277" s="3">
        <v>45388</v>
      </c>
      <c r="I277" s="3">
        <v>44974</v>
      </c>
      <c r="J277" s="3">
        <v>45456</v>
      </c>
      <c r="K277" t="s">
        <v>1025</v>
      </c>
      <c r="L277">
        <v>53</v>
      </c>
      <c r="M277">
        <v>9644</v>
      </c>
    </row>
    <row r="278" spans="1:13" x14ac:dyDescent="0.35">
      <c r="A278" t="s">
        <v>289</v>
      </c>
      <c r="B278" t="s">
        <v>789</v>
      </c>
      <c r="C278" t="s">
        <v>1015</v>
      </c>
      <c r="D278" t="s">
        <v>1019</v>
      </c>
      <c r="E278">
        <v>10070</v>
      </c>
      <c r="F278">
        <v>62183.769767280392</v>
      </c>
      <c r="G278" t="s">
        <v>1023</v>
      </c>
      <c r="H278" s="3">
        <v>45415</v>
      </c>
      <c r="I278" s="3">
        <v>45093</v>
      </c>
      <c r="J278" s="3">
        <v>45553</v>
      </c>
      <c r="K278" t="s">
        <v>1025</v>
      </c>
      <c r="L278">
        <v>53</v>
      </c>
      <c r="M278">
        <v>6855</v>
      </c>
    </row>
    <row r="279" spans="1:13" x14ac:dyDescent="0.35">
      <c r="A279" t="s">
        <v>290</v>
      </c>
      <c r="B279" t="s">
        <v>790</v>
      </c>
      <c r="C279" t="s">
        <v>1016</v>
      </c>
      <c r="D279" t="s">
        <v>1017</v>
      </c>
      <c r="E279">
        <v>10666</v>
      </c>
      <c r="F279">
        <v>41641.203614856211</v>
      </c>
      <c r="G279" t="s">
        <v>1023</v>
      </c>
      <c r="H279" s="3">
        <v>45459</v>
      </c>
      <c r="I279" s="3">
        <v>45091</v>
      </c>
      <c r="J279" s="3">
        <v>45494</v>
      </c>
      <c r="K279" t="s">
        <v>1025</v>
      </c>
      <c r="L279">
        <v>47</v>
      </c>
      <c r="M279">
        <v>8547</v>
      </c>
    </row>
    <row r="280" spans="1:13" x14ac:dyDescent="0.35">
      <c r="A280" t="s">
        <v>291</v>
      </c>
      <c r="B280" t="s">
        <v>791</v>
      </c>
      <c r="C280" t="s">
        <v>1015</v>
      </c>
      <c r="D280" t="s">
        <v>1021</v>
      </c>
      <c r="E280">
        <v>59761</v>
      </c>
      <c r="F280">
        <v>39257.040768328799</v>
      </c>
      <c r="G280" t="s">
        <v>1024</v>
      </c>
      <c r="H280" s="3">
        <v>45529</v>
      </c>
      <c r="I280" s="3">
        <v>45119</v>
      </c>
      <c r="J280" s="3">
        <v>45412</v>
      </c>
      <c r="K280" t="s">
        <v>1025</v>
      </c>
      <c r="L280">
        <v>32</v>
      </c>
      <c r="M280">
        <v>9196</v>
      </c>
    </row>
    <row r="281" spans="1:13" x14ac:dyDescent="0.35">
      <c r="A281" t="s">
        <v>292</v>
      </c>
      <c r="B281" t="s">
        <v>792</v>
      </c>
      <c r="C281" t="s">
        <v>1016</v>
      </c>
      <c r="D281" t="s">
        <v>1018</v>
      </c>
      <c r="E281">
        <v>38368</v>
      </c>
      <c r="F281">
        <v>33527.751670261518</v>
      </c>
      <c r="G281" t="s">
        <v>1023</v>
      </c>
      <c r="H281" s="3">
        <v>45456</v>
      </c>
      <c r="I281" s="3">
        <v>45182</v>
      </c>
      <c r="J281" s="3">
        <v>45374</v>
      </c>
      <c r="K281" t="s">
        <v>1025</v>
      </c>
      <c r="L281">
        <v>34</v>
      </c>
      <c r="M281">
        <v>7911</v>
      </c>
    </row>
    <row r="282" spans="1:13" x14ac:dyDescent="0.35">
      <c r="A282" t="s">
        <v>293</v>
      </c>
      <c r="B282" t="s">
        <v>793</v>
      </c>
      <c r="C282" t="s">
        <v>1014</v>
      </c>
      <c r="D282" t="s">
        <v>1021</v>
      </c>
      <c r="E282">
        <v>8783</v>
      </c>
      <c r="F282">
        <v>29523.319871544321</v>
      </c>
      <c r="G282" t="s">
        <v>1023</v>
      </c>
      <c r="H282" s="3">
        <v>45512</v>
      </c>
      <c r="I282" s="3">
        <v>44997</v>
      </c>
      <c r="J282" s="3">
        <v>45643</v>
      </c>
      <c r="K282" t="s">
        <v>1026</v>
      </c>
      <c r="L282">
        <v>42</v>
      </c>
      <c r="M282">
        <v>8481</v>
      </c>
    </row>
    <row r="283" spans="1:13" x14ac:dyDescent="0.35">
      <c r="A283" t="s">
        <v>294</v>
      </c>
      <c r="B283" t="s">
        <v>794</v>
      </c>
      <c r="C283" t="s">
        <v>1014</v>
      </c>
      <c r="D283" t="s">
        <v>1018</v>
      </c>
      <c r="E283">
        <v>43914</v>
      </c>
      <c r="F283">
        <v>71897.187060437034</v>
      </c>
      <c r="G283" t="s">
        <v>1023</v>
      </c>
      <c r="H283" s="3">
        <v>45527</v>
      </c>
      <c r="I283" s="3">
        <v>45061</v>
      </c>
      <c r="J283" s="3">
        <v>45482</v>
      </c>
      <c r="K283" t="s">
        <v>1026</v>
      </c>
      <c r="L283">
        <v>63</v>
      </c>
      <c r="M283">
        <v>4761</v>
      </c>
    </row>
    <row r="284" spans="1:13" x14ac:dyDescent="0.35">
      <c r="A284" t="s">
        <v>295</v>
      </c>
      <c r="B284" t="s">
        <v>795</v>
      </c>
      <c r="C284" t="s">
        <v>1016</v>
      </c>
      <c r="D284" t="s">
        <v>1018</v>
      </c>
      <c r="E284">
        <v>72507</v>
      </c>
      <c r="F284">
        <v>2922.3671623010109</v>
      </c>
      <c r="G284" t="s">
        <v>1023</v>
      </c>
      <c r="H284" s="3">
        <v>45449</v>
      </c>
      <c r="I284" s="3">
        <v>45188</v>
      </c>
      <c r="J284" s="3">
        <v>45595</v>
      </c>
      <c r="K284" t="s">
        <v>1026</v>
      </c>
      <c r="L284">
        <v>45</v>
      </c>
      <c r="M284">
        <v>6456</v>
      </c>
    </row>
    <row r="285" spans="1:13" x14ac:dyDescent="0.35">
      <c r="A285" t="s">
        <v>296</v>
      </c>
      <c r="B285" t="s">
        <v>796</v>
      </c>
      <c r="C285" t="s">
        <v>1013</v>
      </c>
      <c r="D285" t="s">
        <v>1018</v>
      </c>
      <c r="E285">
        <v>81026</v>
      </c>
      <c r="F285">
        <v>14962.30252296692</v>
      </c>
      <c r="G285" t="s">
        <v>1022</v>
      </c>
      <c r="H285" s="3">
        <v>45489</v>
      </c>
      <c r="I285" s="3">
        <v>45279</v>
      </c>
      <c r="J285" s="3">
        <v>45523</v>
      </c>
      <c r="K285" t="s">
        <v>1025</v>
      </c>
      <c r="L285">
        <v>23</v>
      </c>
      <c r="M285">
        <v>14856</v>
      </c>
    </row>
    <row r="286" spans="1:13" x14ac:dyDescent="0.35">
      <c r="A286" t="s">
        <v>297</v>
      </c>
      <c r="B286" t="s">
        <v>797</v>
      </c>
      <c r="C286" t="s">
        <v>1016</v>
      </c>
      <c r="D286" t="s">
        <v>1017</v>
      </c>
      <c r="E286">
        <v>69526</v>
      </c>
      <c r="F286">
        <v>47612.925722979176</v>
      </c>
      <c r="G286" t="s">
        <v>1023</v>
      </c>
      <c r="H286" s="3">
        <v>45333</v>
      </c>
      <c r="I286" s="3">
        <v>45285</v>
      </c>
      <c r="J286" s="3">
        <v>45472</v>
      </c>
      <c r="K286" t="s">
        <v>1025</v>
      </c>
      <c r="L286">
        <v>45</v>
      </c>
      <c r="M286">
        <v>11607</v>
      </c>
    </row>
    <row r="287" spans="1:13" x14ac:dyDescent="0.35">
      <c r="A287" t="s">
        <v>298</v>
      </c>
      <c r="B287" t="s">
        <v>798</v>
      </c>
      <c r="C287" t="s">
        <v>1013</v>
      </c>
      <c r="D287" t="s">
        <v>1020</v>
      </c>
      <c r="E287">
        <v>72835</v>
      </c>
      <c r="F287">
        <v>36357.073898641524</v>
      </c>
      <c r="G287" t="s">
        <v>1022</v>
      </c>
      <c r="H287" s="3">
        <v>45363</v>
      </c>
      <c r="I287" s="3">
        <v>45205</v>
      </c>
      <c r="J287" s="3">
        <v>45619</v>
      </c>
      <c r="K287" t="s">
        <v>1026</v>
      </c>
      <c r="L287">
        <v>59</v>
      </c>
      <c r="M287">
        <v>8361</v>
      </c>
    </row>
    <row r="288" spans="1:13" x14ac:dyDescent="0.35">
      <c r="A288" t="s">
        <v>299</v>
      </c>
      <c r="B288" t="s">
        <v>799</v>
      </c>
      <c r="C288" t="s">
        <v>1015</v>
      </c>
      <c r="D288" t="s">
        <v>1021</v>
      </c>
      <c r="E288">
        <v>47765</v>
      </c>
      <c r="F288">
        <v>41896.414193750898</v>
      </c>
      <c r="G288" t="s">
        <v>1024</v>
      </c>
      <c r="H288" s="3">
        <v>45337</v>
      </c>
      <c r="I288" s="3">
        <v>45263</v>
      </c>
      <c r="J288" s="3">
        <v>45580</v>
      </c>
      <c r="K288" t="s">
        <v>1025</v>
      </c>
      <c r="L288">
        <v>28</v>
      </c>
      <c r="M288">
        <v>7693</v>
      </c>
    </row>
    <row r="289" spans="1:13" x14ac:dyDescent="0.35">
      <c r="A289" t="s">
        <v>300</v>
      </c>
      <c r="B289" t="s">
        <v>800</v>
      </c>
      <c r="C289" t="s">
        <v>1015</v>
      </c>
      <c r="D289" t="s">
        <v>1017</v>
      </c>
      <c r="E289">
        <v>21956</v>
      </c>
      <c r="F289">
        <v>54977.407554637037</v>
      </c>
      <c r="G289" t="s">
        <v>1023</v>
      </c>
      <c r="H289" s="3">
        <v>45557</v>
      </c>
      <c r="I289" s="3">
        <v>45201</v>
      </c>
      <c r="J289" s="3">
        <v>45498</v>
      </c>
      <c r="K289" t="s">
        <v>1025</v>
      </c>
      <c r="L289">
        <v>24</v>
      </c>
      <c r="M289">
        <v>7788</v>
      </c>
    </row>
    <row r="290" spans="1:13" x14ac:dyDescent="0.35">
      <c r="A290" t="s">
        <v>301</v>
      </c>
      <c r="B290" t="s">
        <v>801</v>
      </c>
      <c r="C290" t="s">
        <v>1015</v>
      </c>
      <c r="D290" t="s">
        <v>1017</v>
      </c>
      <c r="E290">
        <v>89895</v>
      </c>
      <c r="F290">
        <v>14279.21807458353</v>
      </c>
      <c r="G290" t="s">
        <v>1023</v>
      </c>
      <c r="H290" s="3">
        <v>45424</v>
      </c>
      <c r="I290" s="3">
        <v>45198</v>
      </c>
      <c r="J290" s="3">
        <v>45574</v>
      </c>
      <c r="K290" t="s">
        <v>1026</v>
      </c>
      <c r="L290">
        <v>51</v>
      </c>
      <c r="M290">
        <v>2201</v>
      </c>
    </row>
    <row r="291" spans="1:13" x14ac:dyDescent="0.35">
      <c r="A291" t="s">
        <v>302</v>
      </c>
      <c r="B291" t="s">
        <v>802</v>
      </c>
      <c r="C291" t="s">
        <v>1014</v>
      </c>
      <c r="D291" t="s">
        <v>1017</v>
      </c>
      <c r="E291">
        <v>48240</v>
      </c>
      <c r="F291">
        <v>29678.53217365365</v>
      </c>
      <c r="G291" t="s">
        <v>1023</v>
      </c>
      <c r="H291" s="3">
        <v>45534</v>
      </c>
      <c r="I291" s="3">
        <v>45125</v>
      </c>
      <c r="J291" s="3">
        <v>45605</v>
      </c>
      <c r="K291" t="s">
        <v>1025</v>
      </c>
      <c r="L291">
        <v>39</v>
      </c>
      <c r="M291">
        <v>8160</v>
      </c>
    </row>
    <row r="292" spans="1:13" x14ac:dyDescent="0.35">
      <c r="A292" t="s">
        <v>303</v>
      </c>
      <c r="B292" t="s">
        <v>803</v>
      </c>
      <c r="C292" t="s">
        <v>1015</v>
      </c>
      <c r="D292" t="s">
        <v>1017</v>
      </c>
      <c r="E292">
        <v>39148</v>
      </c>
      <c r="F292">
        <v>59659.494483319817</v>
      </c>
      <c r="G292" t="s">
        <v>1022</v>
      </c>
      <c r="H292" s="3">
        <v>45306</v>
      </c>
      <c r="I292" s="3">
        <v>45093</v>
      </c>
      <c r="J292" s="3">
        <v>45589</v>
      </c>
      <c r="K292" t="s">
        <v>1026</v>
      </c>
      <c r="L292">
        <v>69</v>
      </c>
      <c r="M292">
        <v>12561</v>
      </c>
    </row>
    <row r="293" spans="1:13" x14ac:dyDescent="0.35">
      <c r="A293" t="s">
        <v>304</v>
      </c>
      <c r="B293" t="s">
        <v>804</v>
      </c>
      <c r="C293" t="s">
        <v>1013</v>
      </c>
      <c r="D293" t="s">
        <v>1017</v>
      </c>
      <c r="E293">
        <v>96270</v>
      </c>
      <c r="F293">
        <v>93095.068489564132</v>
      </c>
      <c r="G293" t="s">
        <v>1023</v>
      </c>
      <c r="H293" s="3">
        <v>45509</v>
      </c>
      <c r="I293" s="3">
        <v>45223</v>
      </c>
      <c r="J293" s="3">
        <v>45571</v>
      </c>
      <c r="K293" t="s">
        <v>1025</v>
      </c>
      <c r="L293">
        <v>30</v>
      </c>
      <c r="M293">
        <v>2517</v>
      </c>
    </row>
    <row r="294" spans="1:13" x14ac:dyDescent="0.35">
      <c r="A294" t="s">
        <v>305</v>
      </c>
      <c r="B294" t="s">
        <v>805</v>
      </c>
      <c r="C294" t="s">
        <v>1015</v>
      </c>
      <c r="D294" t="s">
        <v>1019</v>
      </c>
      <c r="E294">
        <v>6757</v>
      </c>
      <c r="F294">
        <v>0</v>
      </c>
      <c r="G294" t="s">
        <v>1023</v>
      </c>
      <c r="H294" s="3">
        <v>45445</v>
      </c>
      <c r="I294" s="3">
        <v>45080</v>
      </c>
      <c r="J294" s="3">
        <v>45634</v>
      </c>
      <c r="K294" t="s">
        <v>1026</v>
      </c>
      <c r="L294">
        <v>34</v>
      </c>
      <c r="M294">
        <v>9737</v>
      </c>
    </row>
    <row r="295" spans="1:13" x14ac:dyDescent="0.35">
      <c r="A295" t="s">
        <v>306</v>
      </c>
      <c r="B295" t="s">
        <v>806</v>
      </c>
      <c r="C295" t="s">
        <v>1016</v>
      </c>
      <c r="D295" t="s">
        <v>1021</v>
      </c>
      <c r="E295">
        <v>21097</v>
      </c>
      <c r="F295">
        <v>0</v>
      </c>
      <c r="G295" t="s">
        <v>1022</v>
      </c>
      <c r="H295" s="3">
        <v>45520</v>
      </c>
      <c r="I295" s="3">
        <v>45274</v>
      </c>
      <c r="J295" s="3">
        <v>45429</v>
      </c>
      <c r="K295" t="s">
        <v>1025</v>
      </c>
      <c r="L295">
        <v>51</v>
      </c>
      <c r="M295">
        <v>11533</v>
      </c>
    </row>
    <row r="296" spans="1:13" x14ac:dyDescent="0.35">
      <c r="A296" t="s">
        <v>307</v>
      </c>
      <c r="B296" t="s">
        <v>807</v>
      </c>
      <c r="C296" t="s">
        <v>1016</v>
      </c>
      <c r="D296" t="s">
        <v>1017</v>
      </c>
      <c r="E296">
        <v>12395</v>
      </c>
      <c r="F296">
        <v>65480.477280047518</v>
      </c>
      <c r="G296" t="s">
        <v>1023</v>
      </c>
      <c r="H296" s="3">
        <v>45563</v>
      </c>
      <c r="I296" s="3">
        <v>45155</v>
      </c>
      <c r="J296" s="3">
        <v>45307</v>
      </c>
      <c r="K296" t="s">
        <v>1025</v>
      </c>
      <c r="L296">
        <v>47</v>
      </c>
      <c r="M296">
        <v>14968</v>
      </c>
    </row>
    <row r="297" spans="1:13" x14ac:dyDescent="0.35">
      <c r="A297" t="s">
        <v>308</v>
      </c>
      <c r="B297" t="s">
        <v>808</v>
      </c>
      <c r="C297" t="s">
        <v>1014</v>
      </c>
      <c r="D297" t="s">
        <v>1021</v>
      </c>
      <c r="E297">
        <v>18241</v>
      </c>
      <c r="F297">
        <v>76441.853855384048</v>
      </c>
      <c r="G297" t="s">
        <v>1024</v>
      </c>
      <c r="H297" s="3">
        <v>45385</v>
      </c>
      <c r="I297" s="3">
        <v>44971</v>
      </c>
      <c r="J297" s="3">
        <v>45367</v>
      </c>
      <c r="K297" t="s">
        <v>1026</v>
      </c>
      <c r="L297">
        <v>41</v>
      </c>
      <c r="M297">
        <v>3988</v>
      </c>
    </row>
    <row r="298" spans="1:13" x14ac:dyDescent="0.35">
      <c r="A298" t="s">
        <v>309</v>
      </c>
      <c r="B298" t="s">
        <v>809</v>
      </c>
      <c r="C298" t="s">
        <v>1016</v>
      </c>
      <c r="D298" t="s">
        <v>1019</v>
      </c>
      <c r="E298">
        <v>29696</v>
      </c>
      <c r="F298">
        <v>76946.777809869251</v>
      </c>
      <c r="G298" t="s">
        <v>1023</v>
      </c>
      <c r="H298" s="3">
        <v>45553</v>
      </c>
      <c r="I298" s="3">
        <v>44978</v>
      </c>
      <c r="J298" s="3">
        <v>45611</v>
      </c>
      <c r="K298" t="s">
        <v>1025</v>
      </c>
      <c r="L298">
        <v>60</v>
      </c>
      <c r="M298">
        <v>13737</v>
      </c>
    </row>
    <row r="299" spans="1:13" x14ac:dyDescent="0.35">
      <c r="A299" t="s">
        <v>310</v>
      </c>
      <c r="B299" t="s">
        <v>810</v>
      </c>
      <c r="C299" t="s">
        <v>1013</v>
      </c>
      <c r="D299" t="s">
        <v>1019</v>
      </c>
      <c r="E299">
        <v>72480</v>
      </c>
      <c r="F299">
        <v>46502.84114500766</v>
      </c>
      <c r="G299" t="s">
        <v>1023</v>
      </c>
      <c r="H299" s="3">
        <v>45372</v>
      </c>
      <c r="I299" s="3">
        <v>45255</v>
      </c>
      <c r="J299" s="3">
        <v>45304</v>
      </c>
      <c r="K299" t="s">
        <v>1025</v>
      </c>
      <c r="L299">
        <v>36</v>
      </c>
      <c r="M299">
        <v>14712</v>
      </c>
    </row>
    <row r="300" spans="1:13" x14ac:dyDescent="0.35">
      <c r="A300" t="s">
        <v>311</v>
      </c>
      <c r="B300" t="s">
        <v>811</v>
      </c>
      <c r="C300" t="s">
        <v>1015</v>
      </c>
      <c r="D300" t="s">
        <v>1021</v>
      </c>
      <c r="E300">
        <v>48163</v>
      </c>
      <c r="F300">
        <v>75438.207639567714</v>
      </c>
      <c r="G300" t="s">
        <v>1023</v>
      </c>
      <c r="H300" s="3">
        <v>45428</v>
      </c>
      <c r="I300" s="3">
        <v>45288</v>
      </c>
      <c r="J300" s="3">
        <v>45497</v>
      </c>
      <c r="K300" t="s">
        <v>1026</v>
      </c>
      <c r="L300">
        <v>45</v>
      </c>
      <c r="M300">
        <v>5802</v>
      </c>
    </row>
    <row r="301" spans="1:13" x14ac:dyDescent="0.35">
      <c r="A301" t="s">
        <v>312</v>
      </c>
      <c r="B301" t="s">
        <v>812</v>
      </c>
      <c r="C301" t="s">
        <v>1014</v>
      </c>
      <c r="D301" t="s">
        <v>1018</v>
      </c>
      <c r="E301">
        <v>21816</v>
      </c>
      <c r="F301">
        <v>0</v>
      </c>
      <c r="G301" t="s">
        <v>1022</v>
      </c>
      <c r="H301" s="3">
        <v>45432</v>
      </c>
      <c r="I301" s="3">
        <v>45207</v>
      </c>
      <c r="J301" s="3">
        <v>45299</v>
      </c>
      <c r="K301" t="s">
        <v>1025</v>
      </c>
      <c r="L301">
        <v>63</v>
      </c>
      <c r="M301">
        <v>7808</v>
      </c>
    </row>
    <row r="302" spans="1:13" x14ac:dyDescent="0.35">
      <c r="A302" t="s">
        <v>313</v>
      </c>
      <c r="B302" t="s">
        <v>813</v>
      </c>
      <c r="C302" t="s">
        <v>1015</v>
      </c>
      <c r="D302" t="s">
        <v>1020</v>
      </c>
      <c r="E302">
        <v>51840</v>
      </c>
      <c r="F302">
        <v>34674.139158720704</v>
      </c>
      <c r="G302" t="s">
        <v>1023</v>
      </c>
      <c r="H302" s="3">
        <v>45404</v>
      </c>
      <c r="I302" s="3">
        <v>44995</v>
      </c>
      <c r="J302" s="3">
        <v>45326</v>
      </c>
      <c r="K302" t="s">
        <v>1026</v>
      </c>
      <c r="L302">
        <v>26</v>
      </c>
      <c r="M302">
        <v>13467</v>
      </c>
    </row>
    <row r="303" spans="1:13" x14ac:dyDescent="0.35">
      <c r="A303" t="s">
        <v>314</v>
      </c>
      <c r="B303" t="s">
        <v>814</v>
      </c>
      <c r="C303" t="s">
        <v>1015</v>
      </c>
      <c r="D303" t="s">
        <v>1018</v>
      </c>
      <c r="E303">
        <v>54853</v>
      </c>
      <c r="F303">
        <v>0</v>
      </c>
      <c r="G303" t="s">
        <v>1022</v>
      </c>
      <c r="H303" s="3">
        <v>45585</v>
      </c>
      <c r="I303" s="3">
        <v>45084</v>
      </c>
      <c r="J303" s="3">
        <v>45643</v>
      </c>
      <c r="K303" t="s">
        <v>1025</v>
      </c>
      <c r="L303">
        <v>61</v>
      </c>
      <c r="M303">
        <v>13846</v>
      </c>
    </row>
    <row r="304" spans="1:13" x14ac:dyDescent="0.35">
      <c r="A304" t="s">
        <v>315</v>
      </c>
      <c r="B304" t="s">
        <v>815</v>
      </c>
      <c r="C304" t="s">
        <v>1013</v>
      </c>
      <c r="D304" t="s">
        <v>1018</v>
      </c>
      <c r="E304">
        <v>26917</v>
      </c>
      <c r="F304">
        <v>67042.430584082365</v>
      </c>
      <c r="G304" t="s">
        <v>1024</v>
      </c>
      <c r="H304" s="3">
        <v>45523</v>
      </c>
      <c r="I304" s="3">
        <v>45229</v>
      </c>
      <c r="J304" s="3">
        <v>45411</v>
      </c>
      <c r="K304" t="s">
        <v>1025</v>
      </c>
      <c r="L304">
        <v>45</v>
      </c>
      <c r="M304">
        <v>9162</v>
      </c>
    </row>
    <row r="305" spans="1:13" x14ac:dyDescent="0.35">
      <c r="A305" t="s">
        <v>316</v>
      </c>
      <c r="B305" t="s">
        <v>816</v>
      </c>
      <c r="C305" t="s">
        <v>1016</v>
      </c>
      <c r="D305" t="s">
        <v>1018</v>
      </c>
      <c r="E305">
        <v>98731</v>
      </c>
      <c r="F305">
        <v>13651.378080385621</v>
      </c>
      <c r="G305" t="s">
        <v>1023</v>
      </c>
      <c r="H305" s="3">
        <v>45297</v>
      </c>
      <c r="I305" s="3">
        <v>44952</v>
      </c>
      <c r="J305" s="3">
        <v>45299</v>
      </c>
      <c r="K305" t="s">
        <v>1025</v>
      </c>
      <c r="L305">
        <v>44</v>
      </c>
      <c r="M305">
        <v>12626</v>
      </c>
    </row>
    <row r="306" spans="1:13" x14ac:dyDescent="0.35">
      <c r="A306" t="s">
        <v>317</v>
      </c>
      <c r="B306" t="s">
        <v>817</v>
      </c>
      <c r="C306" t="s">
        <v>1016</v>
      </c>
      <c r="D306" t="s">
        <v>1017</v>
      </c>
      <c r="E306">
        <v>23566</v>
      </c>
      <c r="F306">
        <v>38631.74901893708</v>
      </c>
      <c r="G306" t="s">
        <v>1024</v>
      </c>
      <c r="H306" s="3">
        <v>45441</v>
      </c>
      <c r="I306" s="3">
        <v>45137</v>
      </c>
      <c r="J306" s="3">
        <v>45548</v>
      </c>
      <c r="K306" t="s">
        <v>1025</v>
      </c>
      <c r="L306">
        <v>29</v>
      </c>
      <c r="M306">
        <v>8241</v>
      </c>
    </row>
    <row r="307" spans="1:13" x14ac:dyDescent="0.35">
      <c r="A307" t="s">
        <v>318</v>
      </c>
      <c r="B307" t="s">
        <v>818</v>
      </c>
      <c r="C307" t="s">
        <v>1015</v>
      </c>
      <c r="D307" t="s">
        <v>1019</v>
      </c>
      <c r="E307">
        <v>77452</v>
      </c>
      <c r="F307">
        <v>23701.101643972059</v>
      </c>
      <c r="G307" t="s">
        <v>1023</v>
      </c>
      <c r="H307" s="3">
        <v>45391</v>
      </c>
      <c r="I307" s="3">
        <v>45215</v>
      </c>
      <c r="J307" s="3">
        <v>45333</v>
      </c>
      <c r="K307" t="s">
        <v>1026</v>
      </c>
      <c r="L307">
        <v>64</v>
      </c>
      <c r="M307">
        <v>10399</v>
      </c>
    </row>
    <row r="308" spans="1:13" x14ac:dyDescent="0.35">
      <c r="A308" t="s">
        <v>319</v>
      </c>
      <c r="B308" t="s">
        <v>819</v>
      </c>
      <c r="C308" t="s">
        <v>1014</v>
      </c>
      <c r="D308" t="s">
        <v>1018</v>
      </c>
      <c r="E308">
        <v>64823</v>
      </c>
      <c r="F308">
        <v>59880.728335014057</v>
      </c>
      <c r="G308" t="s">
        <v>1023</v>
      </c>
      <c r="H308" s="3">
        <v>45296</v>
      </c>
      <c r="I308" s="3">
        <v>45291</v>
      </c>
      <c r="J308" s="3">
        <v>45366</v>
      </c>
      <c r="K308" t="s">
        <v>1025</v>
      </c>
      <c r="L308">
        <v>38</v>
      </c>
      <c r="M308">
        <v>7633</v>
      </c>
    </row>
    <row r="309" spans="1:13" x14ac:dyDescent="0.35">
      <c r="A309" t="s">
        <v>320</v>
      </c>
      <c r="B309" t="s">
        <v>820</v>
      </c>
      <c r="C309" t="s">
        <v>1016</v>
      </c>
      <c r="D309" t="s">
        <v>1019</v>
      </c>
      <c r="E309">
        <v>22806</v>
      </c>
      <c r="F309">
        <v>2103.6500209699948</v>
      </c>
      <c r="G309" t="s">
        <v>1023</v>
      </c>
      <c r="H309" s="3">
        <v>45530</v>
      </c>
      <c r="I309" s="3">
        <v>44965</v>
      </c>
      <c r="J309" s="3">
        <v>45329</v>
      </c>
      <c r="K309" t="s">
        <v>1026</v>
      </c>
      <c r="L309">
        <v>30</v>
      </c>
      <c r="M309">
        <v>7755</v>
      </c>
    </row>
    <row r="310" spans="1:13" x14ac:dyDescent="0.35">
      <c r="A310" t="s">
        <v>321</v>
      </c>
      <c r="B310" t="s">
        <v>821</v>
      </c>
      <c r="C310" t="s">
        <v>1014</v>
      </c>
      <c r="D310" t="s">
        <v>1021</v>
      </c>
      <c r="E310">
        <v>77520</v>
      </c>
      <c r="F310">
        <v>40194.184974586868</v>
      </c>
      <c r="G310" t="s">
        <v>1022</v>
      </c>
      <c r="H310" s="3">
        <v>45358</v>
      </c>
      <c r="I310" s="3">
        <v>44955</v>
      </c>
      <c r="J310" s="3">
        <v>45565</v>
      </c>
      <c r="K310" t="s">
        <v>1025</v>
      </c>
      <c r="L310">
        <v>32</v>
      </c>
      <c r="M310">
        <v>12825</v>
      </c>
    </row>
    <row r="311" spans="1:13" x14ac:dyDescent="0.35">
      <c r="A311" t="s">
        <v>322</v>
      </c>
      <c r="B311" t="s">
        <v>822</v>
      </c>
      <c r="C311" t="s">
        <v>1016</v>
      </c>
      <c r="D311" t="s">
        <v>1020</v>
      </c>
      <c r="E311">
        <v>3759</v>
      </c>
      <c r="F311">
        <v>59484.475099390998</v>
      </c>
      <c r="G311" t="s">
        <v>1023</v>
      </c>
      <c r="H311" s="3">
        <v>45463</v>
      </c>
      <c r="I311" s="3">
        <v>45098</v>
      </c>
      <c r="J311" s="3">
        <v>45479</v>
      </c>
      <c r="K311" t="s">
        <v>1025</v>
      </c>
      <c r="L311">
        <v>27</v>
      </c>
      <c r="M311">
        <v>8309</v>
      </c>
    </row>
    <row r="312" spans="1:13" x14ac:dyDescent="0.35">
      <c r="A312" t="s">
        <v>323</v>
      </c>
      <c r="B312" t="s">
        <v>823</v>
      </c>
      <c r="C312" t="s">
        <v>1014</v>
      </c>
      <c r="D312" t="s">
        <v>1021</v>
      </c>
      <c r="E312">
        <v>43949</v>
      </c>
      <c r="F312">
        <v>48661.49212154009</v>
      </c>
      <c r="G312" t="s">
        <v>1023</v>
      </c>
      <c r="H312" s="3">
        <v>45393</v>
      </c>
      <c r="I312" s="3">
        <v>45276</v>
      </c>
      <c r="J312" s="3">
        <v>45486</v>
      </c>
      <c r="K312" t="s">
        <v>1025</v>
      </c>
      <c r="L312">
        <v>59</v>
      </c>
      <c r="M312">
        <v>6117</v>
      </c>
    </row>
    <row r="313" spans="1:13" x14ac:dyDescent="0.35">
      <c r="A313" t="s">
        <v>324</v>
      </c>
      <c r="B313" t="s">
        <v>824</v>
      </c>
      <c r="C313" t="s">
        <v>1013</v>
      </c>
      <c r="D313" t="s">
        <v>1021</v>
      </c>
      <c r="E313">
        <v>94374</v>
      </c>
      <c r="F313">
        <v>27144.885066728821</v>
      </c>
      <c r="G313" t="s">
        <v>1023</v>
      </c>
      <c r="H313" s="3">
        <v>45581</v>
      </c>
      <c r="I313" s="3">
        <v>45131</v>
      </c>
      <c r="J313" s="3">
        <v>45443</v>
      </c>
      <c r="K313" t="s">
        <v>1025</v>
      </c>
      <c r="L313">
        <v>23</v>
      </c>
      <c r="M313">
        <v>10345</v>
      </c>
    </row>
    <row r="314" spans="1:13" x14ac:dyDescent="0.35">
      <c r="A314" t="s">
        <v>325</v>
      </c>
      <c r="B314" t="s">
        <v>825</v>
      </c>
      <c r="C314" t="s">
        <v>1014</v>
      </c>
      <c r="D314" t="s">
        <v>1017</v>
      </c>
      <c r="E314">
        <v>4482</v>
      </c>
      <c r="F314">
        <v>77854.097872618979</v>
      </c>
      <c r="G314" t="s">
        <v>1023</v>
      </c>
      <c r="H314" s="3">
        <v>45358</v>
      </c>
      <c r="I314" s="3">
        <v>45216</v>
      </c>
      <c r="J314" s="3">
        <v>45554</v>
      </c>
      <c r="K314" t="s">
        <v>1026</v>
      </c>
      <c r="L314">
        <v>66</v>
      </c>
      <c r="M314">
        <v>13558</v>
      </c>
    </row>
    <row r="315" spans="1:13" x14ac:dyDescent="0.35">
      <c r="A315" t="s">
        <v>326</v>
      </c>
      <c r="B315" t="s">
        <v>826</v>
      </c>
      <c r="C315" t="s">
        <v>1013</v>
      </c>
      <c r="D315" t="s">
        <v>1020</v>
      </c>
      <c r="E315">
        <v>26442</v>
      </c>
      <c r="F315">
        <v>39550.276772707432</v>
      </c>
      <c r="G315" t="s">
        <v>1023</v>
      </c>
      <c r="H315" s="3">
        <v>45313</v>
      </c>
      <c r="I315" s="3">
        <v>45109</v>
      </c>
      <c r="J315" s="3">
        <v>45482</v>
      </c>
      <c r="K315" t="s">
        <v>1026</v>
      </c>
      <c r="L315">
        <v>50</v>
      </c>
      <c r="M315">
        <v>14506</v>
      </c>
    </row>
    <row r="316" spans="1:13" x14ac:dyDescent="0.35">
      <c r="A316" t="s">
        <v>327</v>
      </c>
      <c r="B316" t="s">
        <v>827</v>
      </c>
      <c r="C316" t="s">
        <v>1013</v>
      </c>
      <c r="D316" t="s">
        <v>1021</v>
      </c>
      <c r="E316">
        <v>35719</v>
      </c>
      <c r="F316">
        <v>12812.12452193311</v>
      </c>
      <c r="G316" t="s">
        <v>1022</v>
      </c>
      <c r="H316" s="3">
        <v>45471</v>
      </c>
      <c r="I316" s="3">
        <v>45285</v>
      </c>
      <c r="J316" s="3">
        <v>45314</v>
      </c>
      <c r="K316" t="s">
        <v>1026</v>
      </c>
      <c r="L316">
        <v>47</v>
      </c>
      <c r="M316">
        <v>14956</v>
      </c>
    </row>
    <row r="317" spans="1:13" x14ac:dyDescent="0.35">
      <c r="A317" t="s">
        <v>328</v>
      </c>
      <c r="B317" t="s">
        <v>828</v>
      </c>
      <c r="C317" t="s">
        <v>1014</v>
      </c>
      <c r="D317" t="s">
        <v>1021</v>
      </c>
      <c r="E317">
        <v>60066</v>
      </c>
      <c r="F317">
        <v>48780.704442783514</v>
      </c>
      <c r="G317" t="s">
        <v>1022</v>
      </c>
      <c r="H317" s="3">
        <v>45387</v>
      </c>
      <c r="I317" s="3">
        <v>45276</v>
      </c>
      <c r="J317" s="3">
        <v>45642</v>
      </c>
      <c r="K317" t="s">
        <v>1026</v>
      </c>
      <c r="L317">
        <v>30</v>
      </c>
      <c r="M317">
        <v>3518</v>
      </c>
    </row>
    <row r="318" spans="1:13" x14ac:dyDescent="0.35">
      <c r="A318" t="s">
        <v>329</v>
      </c>
      <c r="B318" t="s">
        <v>829</v>
      </c>
      <c r="C318" t="s">
        <v>1013</v>
      </c>
      <c r="D318" t="s">
        <v>1020</v>
      </c>
      <c r="E318">
        <v>95501</v>
      </c>
      <c r="F318">
        <v>0</v>
      </c>
      <c r="G318" t="s">
        <v>1023</v>
      </c>
      <c r="H318" s="3">
        <v>45373</v>
      </c>
      <c r="I318" s="3">
        <v>45053</v>
      </c>
      <c r="J318" s="3">
        <v>45606</v>
      </c>
      <c r="K318" t="s">
        <v>1025</v>
      </c>
      <c r="L318">
        <v>62</v>
      </c>
      <c r="M318">
        <v>8163</v>
      </c>
    </row>
    <row r="319" spans="1:13" x14ac:dyDescent="0.35">
      <c r="A319" t="s">
        <v>330</v>
      </c>
      <c r="B319" t="s">
        <v>830</v>
      </c>
      <c r="C319" t="s">
        <v>1015</v>
      </c>
      <c r="D319" t="s">
        <v>1020</v>
      </c>
      <c r="E319">
        <v>4079</v>
      </c>
      <c r="F319">
        <v>67270.165230092724</v>
      </c>
      <c r="G319" t="s">
        <v>1024</v>
      </c>
      <c r="H319" s="3">
        <v>45479</v>
      </c>
      <c r="I319" s="3">
        <v>45128</v>
      </c>
      <c r="J319" s="3">
        <v>45333</v>
      </c>
      <c r="K319" t="s">
        <v>1026</v>
      </c>
      <c r="L319">
        <v>20</v>
      </c>
      <c r="M319">
        <v>4600</v>
      </c>
    </row>
    <row r="320" spans="1:13" x14ac:dyDescent="0.35">
      <c r="A320" t="s">
        <v>331</v>
      </c>
      <c r="B320" t="s">
        <v>831</v>
      </c>
      <c r="C320" t="s">
        <v>1013</v>
      </c>
      <c r="D320" t="s">
        <v>1021</v>
      </c>
      <c r="E320">
        <v>4717</v>
      </c>
      <c r="F320">
        <v>23997.61296248341</v>
      </c>
      <c r="G320" t="s">
        <v>1023</v>
      </c>
      <c r="H320" s="3">
        <v>45404</v>
      </c>
      <c r="I320" s="3">
        <v>44992</v>
      </c>
      <c r="J320" s="3">
        <v>45491</v>
      </c>
      <c r="K320" t="s">
        <v>1026</v>
      </c>
      <c r="L320">
        <v>68</v>
      </c>
      <c r="M320">
        <v>4195</v>
      </c>
    </row>
    <row r="321" spans="1:13" x14ac:dyDescent="0.35">
      <c r="A321" t="s">
        <v>332</v>
      </c>
      <c r="B321" t="s">
        <v>832</v>
      </c>
      <c r="C321" t="s">
        <v>1016</v>
      </c>
      <c r="D321" t="s">
        <v>1020</v>
      </c>
      <c r="E321">
        <v>61676</v>
      </c>
      <c r="F321">
        <v>4670.7863710923666</v>
      </c>
      <c r="G321" t="s">
        <v>1024</v>
      </c>
      <c r="H321" s="3">
        <v>45579</v>
      </c>
      <c r="I321" s="3">
        <v>45093</v>
      </c>
      <c r="J321" s="3">
        <v>45333</v>
      </c>
      <c r="K321" t="s">
        <v>1025</v>
      </c>
      <c r="L321">
        <v>66</v>
      </c>
      <c r="M321">
        <v>14690</v>
      </c>
    </row>
    <row r="322" spans="1:13" x14ac:dyDescent="0.35">
      <c r="A322" t="s">
        <v>333</v>
      </c>
      <c r="B322" t="s">
        <v>833</v>
      </c>
      <c r="C322" t="s">
        <v>1014</v>
      </c>
      <c r="D322" t="s">
        <v>1021</v>
      </c>
      <c r="E322">
        <v>29952</v>
      </c>
      <c r="F322">
        <v>69162.940581533025</v>
      </c>
      <c r="G322" t="s">
        <v>1023</v>
      </c>
      <c r="H322" s="3">
        <v>45464</v>
      </c>
      <c r="I322" s="3">
        <v>45145</v>
      </c>
      <c r="J322" s="3">
        <v>45641</v>
      </c>
      <c r="K322" t="s">
        <v>1025</v>
      </c>
      <c r="L322">
        <v>57</v>
      </c>
      <c r="M322">
        <v>14883</v>
      </c>
    </row>
    <row r="323" spans="1:13" x14ac:dyDescent="0.35">
      <c r="A323" t="s">
        <v>334</v>
      </c>
      <c r="B323" t="s">
        <v>834</v>
      </c>
      <c r="C323" t="s">
        <v>1015</v>
      </c>
      <c r="D323" t="s">
        <v>1021</v>
      </c>
      <c r="E323">
        <v>88444</v>
      </c>
      <c r="F323">
        <v>8255.0542247517296</v>
      </c>
      <c r="G323" t="s">
        <v>1023</v>
      </c>
      <c r="H323" s="3">
        <v>45472</v>
      </c>
      <c r="I323" s="3">
        <v>45064</v>
      </c>
      <c r="J323" s="3">
        <v>45428</v>
      </c>
      <c r="K323" t="s">
        <v>1025</v>
      </c>
      <c r="L323">
        <v>43</v>
      </c>
      <c r="M323">
        <v>5554</v>
      </c>
    </row>
    <row r="324" spans="1:13" x14ac:dyDescent="0.35">
      <c r="A324" t="s">
        <v>335</v>
      </c>
      <c r="B324" t="s">
        <v>835</v>
      </c>
      <c r="C324" t="s">
        <v>1014</v>
      </c>
      <c r="D324" t="s">
        <v>1017</v>
      </c>
      <c r="E324">
        <v>44460</v>
      </c>
      <c r="F324">
        <v>49336.852623273538</v>
      </c>
      <c r="G324" t="s">
        <v>1023</v>
      </c>
      <c r="H324" s="3">
        <v>45344</v>
      </c>
      <c r="I324" s="3">
        <v>45081</v>
      </c>
      <c r="J324" s="3">
        <v>45487</v>
      </c>
      <c r="K324" t="s">
        <v>1025</v>
      </c>
      <c r="L324">
        <v>66</v>
      </c>
      <c r="M324">
        <v>12606</v>
      </c>
    </row>
    <row r="325" spans="1:13" x14ac:dyDescent="0.35">
      <c r="A325" t="s">
        <v>336</v>
      </c>
      <c r="B325" t="s">
        <v>836</v>
      </c>
      <c r="C325" t="s">
        <v>1016</v>
      </c>
      <c r="D325" t="s">
        <v>1018</v>
      </c>
      <c r="E325">
        <v>92397</v>
      </c>
      <c r="F325">
        <v>0</v>
      </c>
      <c r="G325" t="s">
        <v>1022</v>
      </c>
      <c r="H325" s="3">
        <v>45363</v>
      </c>
      <c r="I325" s="3">
        <v>45235</v>
      </c>
      <c r="J325" s="3">
        <v>45549</v>
      </c>
      <c r="K325" t="s">
        <v>1026</v>
      </c>
      <c r="L325">
        <v>50</v>
      </c>
      <c r="M325">
        <v>4849</v>
      </c>
    </row>
    <row r="326" spans="1:13" x14ac:dyDescent="0.35">
      <c r="A326" t="s">
        <v>337</v>
      </c>
      <c r="B326" t="s">
        <v>837</v>
      </c>
      <c r="C326" t="s">
        <v>1016</v>
      </c>
      <c r="D326" t="s">
        <v>1021</v>
      </c>
      <c r="E326">
        <v>74847</v>
      </c>
      <c r="F326">
        <v>26353.75406370038</v>
      </c>
      <c r="G326" t="s">
        <v>1023</v>
      </c>
      <c r="H326" s="3">
        <v>45431</v>
      </c>
      <c r="I326" s="3">
        <v>45264</v>
      </c>
      <c r="J326" s="3">
        <v>45353</v>
      </c>
      <c r="K326" t="s">
        <v>1026</v>
      </c>
      <c r="L326">
        <v>60</v>
      </c>
      <c r="M326">
        <v>3742</v>
      </c>
    </row>
    <row r="327" spans="1:13" x14ac:dyDescent="0.35">
      <c r="A327" t="s">
        <v>338</v>
      </c>
      <c r="B327" t="s">
        <v>838</v>
      </c>
      <c r="C327" t="s">
        <v>1016</v>
      </c>
      <c r="D327" t="s">
        <v>1019</v>
      </c>
      <c r="E327">
        <v>95607</v>
      </c>
      <c r="F327">
        <v>7929.1312918005988</v>
      </c>
      <c r="G327" t="s">
        <v>1023</v>
      </c>
      <c r="H327" s="3">
        <v>45483</v>
      </c>
      <c r="I327" s="3">
        <v>45068</v>
      </c>
      <c r="J327" s="3">
        <v>45475</v>
      </c>
      <c r="K327" t="s">
        <v>1025</v>
      </c>
      <c r="L327">
        <v>65</v>
      </c>
      <c r="M327">
        <v>3306</v>
      </c>
    </row>
    <row r="328" spans="1:13" x14ac:dyDescent="0.35">
      <c r="A328" t="s">
        <v>339</v>
      </c>
      <c r="B328" t="s">
        <v>839</v>
      </c>
      <c r="C328" t="s">
        <v>1013</v>
      </c>
      <c r="D328" t="s">
        <v>1018</v>
      </c>
      <c r="E328">
        <v>91106</v>
      </c>
      <c r="F328">
        <v>35600.289017533119</v>
      </c>
      <c r="G328" t="s">
        <v>1023</v>
      </c>
      <c r="H328" s="3">
        <v>45306</v>
      </c>
      <c r="I328" s="3">
        <v>45088</v>
      </c>
      <c r="J328" s="3">
        <v>45545</v>
      </c>
      <c r="K328" t="s">
        <v>1025</v>
      </c>
      <c r="L328">
        <v>69</v>
      </c>
      <c r="M328">
        <v>5849</v>
      </c>
    </row>
    <row r="329" spans="1:13" x14ac:dyDescent="0.35">
      <c r="A329" t="s">
        <v>340</v>
      </c>
      <c r="B329" t="s">
        <v>840</v>
      </c>
      <c r="C329" t="s">
        <v>1013</v>
      </c>
      <c r="D329" t="s">
        <v>1018</v>
      </c>
      <c r="E329">
        <v>20449</v>
      </c>
      <c r="F329">
        <v>68547.471307743588</v>
      </c>
      <c r="G329" t="s">
        <v>1023</v>
      </c>
      <c r="H329" s="3">
        <v>45534</v>
      </c>
      <c r="I329" s="3">
        <v>45247</v>
      </c>
      <c r="J329" s="3">
        <v>45546</v>
      </c>
      <c r="K329" t="s">
        <v>1025</v>
      </c>
      <c r="L329">
        <v>45</v>
      </c>
      <c r="M329">
        <v>14360</v>
      </c>
    </row>
    <row r="330" spans="1:13" x14ac:dyDescent="0.35">
      <c r="A330" t="s">
        <v>341</v>
      </c>
      <c r="B330" t="s">
        <v>841</v>
      </c>
      <c r="C330" t="s">
        <v>1014</v>
      </c>
      <c r="D330" t="s">
        <v>1018</v>
      </c>
      <c r="E330">
        <v>35536</v>
      </c>
      <c r="F330">
        <v>49417.098375808077</v>
      </c>
      <c r="G330" t="s">
        <v>1023</v>
      </c>
      <c r="H330" s="3">
        <v>45455</v>
      </c>
      <c r="I330" s="3">
        <v>45072</v>
      </c>
      <c r="J330" s="3">
        <v>45336</v>
      </c>
      <c r="K330" t="s">
        <v>1026</v>
      </c>
      <c r="L330">
        <v>68</v>
      </c>
      <c r="M330">
        <v>14768</v>
      </c>
    </row>
    <row r="331" spans="1:13" x14ac:dyDescent="0.35">
      <c r="A331" t="s">
        <v>342</v>
      </c>
      <c r="B331" t="s">
        <v>842</v>
      </c>
      <c r="C331" t="s">
        <v>1014</v>
      </c>
      <c r="D331" t="s">
        <v>1017</v>
      </c>
      <c r="E331">
        <v>66077</v>
      </c>
      <c r="F331">
        <v>62229.802403086818</v>
      </c>
      <c r="G331" t="s">
        <v>1022</v>
      </c>
      <c r="H331" s="3">
        <v>45354</v>
      </c>
      <c r="I331" s="3">
        <v>45089</v>
      </c>
      <c r="J331" s="3">
        <v>45526</v>
      </c>
      <c r="K331" t="s">
        <v>1026</v>
      </c>
      <c r="L331">
        <v>69</v>
      </c>
      <c r="M331">
        <v>9519</v>
      </c>
    </row>
    <row r="332" spans="1:13" x14ac:dyDescent="0.35">
      <c r="A332" t="s">
        <v>343</v>
      </c>
      <c r="B332" t="s">
        <v>843</v>
      </c>
      <c r="C332" t="s">
        <v>1015</v>
      </c>
      <c r="D332" t="s">
        <v>1021</v>
      </c>
      <c r="E332">
        <v>40258</v>
      </c>
      <c r="F332">
        <v>10442.502167503129</v>
      </c>
      <c r="G332" t="s">
        <v>1022</v>
      </c>
      <c r="H332" s="3">
        <v>45462</v>
      </c>
      <c r="I332" s="3">
        <v>45010</v>
      </c>
      <c r="J332" s="3">
        <v>45645</v>
      </c>
      <c r="K332" t="s">
        <v>1025</v>
      </c>
      <c r="L332">
        <v>24</v>
      </c>
      <c r="M332">
        <v>14847</v>
      </c>
    </row>
    <row r="333" spans="1:13" x14ac:dyDescent="0.35">
      <c r="A333" t="s">
        <v>344</v>
      </c>
      <c r="B333" t="s">
        <v>844</v>
      </c>
      <c r="C333" t="s">
        <v>1015</v>
      </c>
      <c r="D333" t="s">
        <v>1017</v>
      </c>
      <c r="E333">
        <v>50302</v>
      </c>
      <c r="F333">
        <v>19031.6875941658</v>
      </c>
      <c r="G333" t="s">
        <v>1023</v>
      </c>
      <c r="H333" s="3">
        <v>45486</v>
      </c>
      <c r="I333" s="3">
        <v>45151</v>
      </c>
      <c r="J333" s="3">
        <v>45369</v>
      </c>
      <c r="K333" t="s">
        <v>1025</v>
      </c>
      <c r="L333">
        <v>39</v>
      </c>
      <c r="M333">
        <v>6195</v>
      </c>
    </row>
    <row r="334" spans="1:13" x14ac:dyDescent="0.35">
      <c r="A334" t="s">
        <v>345</v>
      </c>
      <c r="B334" t="s">
        <v>845</v>
      </c>
      <c r="C334" t="s">
        <v>1014</v>
      </c>
      <c r="D334" t="s">
        <v>1021</v>
      </c>
      <c r="E334">
        <v>30865</v>
      </c>
      <c r="F334">
        <v>63014.127503659838</v>
      </c>
      <c r="G334" t="s">
        <v>1022</v>
      </c>
      <c r="H334" s="3">
        <v>45390</v>
      </c>
      <c r="I334" s="3">
        <v>45265</v>
      </c>
      <c r="J334" s="3">
        <v>45623</v>
      </c>
      <c r="K334" t="s">
        <v>1026</v>
      </c>
      <c r="L334">
        <v>60</v>
      </c>
      <c r="M334">
        <v>7178</v>
      </c>
    </row>
    <row r="335" spans="1:13" x14ac:dyDescent="0.35">
      <c r="A335" t="s">
        <v>346</v>
      </c>
      <c r="B335" t="s">
        <v>846</v>
      </c>
      <c r="C335" t="s">
        <v>1013</v>
      </c>
      <c r="D335" t="s">
        <v>1017</v>
      </c>
      <c r="E335">
        <v>8645</v>
      </c>
      <c r="F335">
        <v>36317.48520620061</v>
      </c>
      <c r="G335" t="s">
        <v>1023</v>
      </c>
      <c r="H335" s="3">
        <v>45519</v>
      </c>
      <c r="I335" s="3">
        <v>45288</v>
      </c>
      <c r="J335" s="3">
        <v>45404</v>
      </c>
      <c r="K335" t="s">
        <v>1025</v>
      </c>
      <c r="L335">
        <v>30</v>
      </c>
      <c r="M335">
        <v>4555</v>
      </c>
    </row>
    <row r="336" spans="1:13" x14ac:dyDescent="0.35">
      <c r="A336" t="s">
        <v>347</v>
      </c>
      <c r="B336" t="s">
        <v>847</v>
      </c>
      <c r="C336" t="s">
        <v>1016</v>
      </c>
      <c r="D336" t="s">
        <v>1017</v>
      </c>
      <c r="E336">
        <v>40000</v>
      </c>
      <c r="F336">
        <v>24418.774715308002</v>
      </c>
      <c r="G336" t="s">
        <v>1022</v>
      </c>
      <c r="H336" s="3">
        <v>45566</v>
      </c>
      <c r="I336" s="3">
        <v>45016</v>
      </c>
      <c r="J336" s="3">
        <v>45325</v>
      </c>
      <c r="K336" t="s">
        <v>1025</v>
      </c>
      <c r="L336">
        <v>52</v>
      </c>
      <c r="M336">
        <v>4305</v>
      </c>
    </row>
    <row r="337" spans="1:13" x14ac:dyDescent="0.35">
      <c r="A337" t="s">
        <v>348</v>
      </c>
      <c r="B337" t="s">
        <v>848</v>
      </c>
      <c r="C337" t="s">
        <v>1014</v>
      </c>
      <c r="D337" t="s">
        <v>1019</v>
      </c>
      <c r="E337">
        <v>28737</v>
      </c>
      <c r="F337">
        <v>26911.129709114579</v>
      </c>
      <c r="G337" t="s">
        <v>1022</v>
      </c>
      <c r="H337" s="3">
        <v>45339</v>
      </c>
      <c r="I337" s="3">
        <v>44954</v>
      </c>
      <c r="J337" s="3">
        <v>45332</v>
      </c>
      <c r="K337" t="s">
        <v>1026</v>
      </c>
      <c r="L337">
        <v>69</v>
      </c>
      <c r="M337">
        <v>14700</v>
      </c>
    </row>
    <row r="338" spans="1:13" x14ac:dyDescent="0.35">
      <c r="A338" t="s">
        <v>349</v>
      </c>
      <c r="B338" t="s">
        <v>849</v>
      </c>
      <c r="C338" t="s">
        <v>1015</v>
      </c>
      <c r="D338" t="s">
        <v>1017</v>
      </c>
      <c r="E338">
        <v>13485</v>
      </c>
      <c r="F338">
        <v>20266.329832153038</v>
      </c>
      <c r="G338" t="s">
        <v>1023</v>
      </c>
      <c r="H338" s="3">
        <v>45308</v>
      </c>
      <c r="I338" s="3">
        <v>44953</v>
      </c>
      <c r="J338" s="3">
        <v>45595</v>
      </c>
      <c r="K338" t="s">
        <v>1025</v>
      </c>
      <c r="L338">
        <v>57</v>
      </c>
      <c r="M338">
        <v>9619</v>
      </c>
    </row>
    <row r="339" spans="1:13" x14ac:dyDescent="0.35">
      <c r="A339" t="s">
        <v>350</v>
      </c>
      <c r="B339" t="s">
        <v>850</v>
      </c>
      <c r="C339" t="s">
        <v>1013</v>
      </c>
      <c r="D339" t="s">
        <v>1020</v>
      </c>
      <c r="E339">
        <v>40565</v>
      </c>
      <c r="F339">
        <v>22630.661770839972</v>
      </c>
      <c r="G339" t="s">
        <v>1022</v>
      </c>
      <c r="H339" s="3">
        <v>45428</v>
      </c>
      <c r="I339" s="3">
        <v>45182</v>
      </c>
      <c r="J339" s="3">
        <v>45456</v>
      </c>
      <c r="K339" t="s">
        <v>1026</v>
      </c>
      <c r="L339">
        <v>46</v>
      </c>
      <c r="M339">
        <v>11280</v>
      </c>
    </row>
    <row r="340" spans="1:13" x14ac:dyDescent="0.35">
      <c r="A340" t="s">
        <v>351</v>
      </c>
      <c r="B340" t="s">
        <v>851</v>
      </c>
      <c r="C340" t="s">
        <v>1014</v>
      </c>
      <c r="D340" t="s">
        <v>1019</v>
      </c>
      <c r="E340">
        <v>27522</v>
      </c>
      <c r="F340">
        <v>46155.558743164547</v>
      </c>
      <c r="G340" t="s">
        <v>1023</v>
      </c>
      <c r="H340" s="3">
        <v>45399</v>
      </c>
      <c r="I340" s="3">
        <v>45194</v>
      </c>
      <c r="J340" s="3">
        <v>45501</v>
      </c>
      <c r="K340" t="s">
        <v>1025</v>
      </c>
      <c r="L340">
        <v>53</v>
      </c>
      <c r="M340">
        <v>4642</v>
      </c>
    </row>
    <row r="341" spans="1:13" x14ac:dyDescent="0.35">
      <c r="A341" t="s">
        <v>352</v>
      </c>
      <c r="B341" t="s">
        <v>852</v>
      </c>
      <c r="C341" t="s">
        <v>1014</v>
      </c>
      <c r="D341" t="s">
        <v>1017</v>
      </c>
      <c r="E341">
        <v>67155</v>
      </c>
      <c r="F341">
        <v>0</v>
      </c>
      <c r="G341" t="s">
        <v>1023</v>
      </c>
      <c r="H341" s="3">
        <v>45381</v>
      </c>
      <c r="I341" s="3">
        <v>44947</v>
      </c>
      <c r="J341" s="3">
        <v>45546</v>
      </c>
      <c r="K341" t="s">
        <v>1025</v>
      </c>
      <c r="L341">
        <v>34</v>
      </c>
      <c r="M341">
        <v>11369</v>
      </c>
    </row>
    <row r="342" spans="1:13" x14ac:dyDescent="0.35">
      <c r="A342" t="s">
        <v>353</v>
      </c>
      <c r="B342" t="s">
        <v>853</v>
      </c>
      <c r="C342" t="s">
        <v>1013</v>
      </c>
      <c r="D342" t="s">
        <v>1018</v>
      </c>
      <c r="E342">
        <v>57168</v>
      </c>
      <c r="F342">
        <v>72445.094987122022</v>
      </c>
      <c r="G342" t="s">
        <v>1022</v>
      </c>
      <c r="H342" s="3">
        <v>45473</v>
      </c>
      <c r="I342" s="3">
        <v>45194</v>
      </c>
      <c r="J342" s="3">
        <v>45450</v>
      </c>
      <c r="K342" t="s">
        <v>1026</v>
      </c>
      <c r="L342">
        <v>51</v>
      </c>
      <c r="M342">
        <v>8409</v>
      </c>
    </row>
    <row r="343" spans="1:13" x14ac:dyDescent="0.35">
      <c r="A343" t="s">
        <v>354</v>
      </c>
      <c r="B343" t="s">
        <v>854</v>
      </c>
      <c r="C343" t="s">
        <v>1014</v>
      </c>
      <c r="D343" t="s">
        <v>1020</v>
      </c>
      <c r="E343">
        <v>54487</v>
      </c>
      <c r="F343">
        <v>14384.208549459259</v>
      </c>
      <c r="G343" t="s">
        <v>1023</v>
      </c>
      <c r="H343" s="3">
        <v>45582</v>
      </c>
      <c r="I343" s="3">
        <v>45041</v>
      </c>
      <c r="J343" s="3">
        <v>45496</v>
      </c>
      <c r="K343" t="s">
        <v>1026</v>
      </c>
      <c r="L343">
        <v>40</v>
      </c>
      <c r="M343">
        <v>6757</v>
      </c>
    </row>
    <row r="344" spans="1:13" x14ac:dyDescent="0.35">
      <c r="A344" t="s">
        <v>355</v>
      </c>
      <c r="B344" t="s">
        <v>855</v>
      </c>
      <c r="C344" t="s">
        <v>1013</v>
      </c>
      <c r="D344" t="s">
        <v>1020</v>
      </c>
      <c r="E344">
        <v>14342</v>
      </c>
      <c r="F344">
        <v>19229.901153666498</v>
      </c>
      <c r="G344" t="s">
        <v>1023</v>
      </c>
      <c r="H344" s="3">
        <v>45423</v>
      </c>
      <c r="I344" s="3">
        <v>44945</v>
      </c>
      <c r="J344" s="3">
        <v>45557</v>
      </c>
      <c r="K344" t="s">
        <v>1025</v>
      </c>
      <c r="L344">
        <v>65</v>
      </c>
      <c r="M344">
        <v>4994</v>
      </c>
    </row>
    <row r="345" spans="1:13" x14ac:dyDescent="0.35">
      <c r="A345" t="s">
        <v>356</v>
      </c>
      <c r="B345" t="s">
        <v>856</v>
      </c>
      <c r="C345" t="s">
        <v>1016</v>
      </c>
      <c r="D345" t="s">
        <v>1020</v>
      </c>
      <c r="E345">
        <v>42806</v>
      </c>
      <c r="F345">
        <v>47289.329733168757</v>
      </c>
      <c r="G345" t="s">
        <v>1023</v>
      </c>
      <c r="H345" s="3">
        <v>45472</v>
      </c>
      <c r="I345" s="3">
        <v>45079</v>
      </c>
      <c r="J345" s="3">
        <v>45504</v>
      </c>
      <c r="K345" t="s">
        <v>1026</v>
      </c>
      <c r="L345">
        <v>24</v>
      </c>
      <c r="M345">
        <v>10751</v>
      </c>
    </row>
    <row r="346" spans="1:13" x14ac:dyDescent="0.35">
      <c r="A346" t="s">
        <v>357</v>
      </c>
      <c r="B346" t="s">
        <v>857</v>
      </c>
      <c r="C346" t="s">
        <v>1013</v>
      </c>
      <c r="D346" t="s">
        <v>1019</v>
      </c>
      <c r="E346">
        <v>50770</v>
      </c>
      <c r="F346">
        <v>58415.208300249629</v>
      </c>
      <c r="G346" t="s">
        <v>1022</v>
      </c>
      <c r="H346" s="3">
        <v>45370</v>
      </c>
      <c r="I346" s="3">
        <v>45224</v>
      </c>
      <c r="J346" s="3">
        <v>45519</v>
      </c>
      <c r="K346" t="s">
        <v>1025</v>
      </c>
      <c r="L346">
        <v>25</v>
      </c>
      <c r="M346">
        <v>13156</v>
      </c>
    </row>
    <row r="347" spans="1:13" x14ac:dyDescent="0.35">
      <c r="A347" t="s">
        <v>358</v>
      </c>
      <c r="B347" t="s">
        <v>858</v>
      </c>
      <c r="C347" t="s">
        <v>1013</v>
      </c>
      <c r="D347" t="s">
        <v>1017</v>
      </c>
      <c r="E347">
        <v>80623</v>
      </c>
      <c r="F347">
        <v>0</v>
      </c>
      <c r="G347" t="s">
        <v>1023</v>
      </c>
      <c r="H347" s="3">
        <v>45311</v>
      </c>
      <c r="I347" s="3">
        <v>45280</v>
      </c>
      <c r="J347" s="3">
        <v>45478</v>
      </c>
      <c r="K347" t="s">
        <v>1025</v>
      </c>
      <c r="L347">
        <v>57</v>
      </c>
      <c r="M347">
        <v>3271</v>
      </c>
    </row>
    <row r="348" spans="1:13" x14ac:dyDescent="0.35">
      <c r="A348" t="s">
        <v>359</v>
      </c>
      <c r="B348" t="s">
        <v>859</v>
      </c>
      <c r="C348" t="s">
        <v>1013</v>
      </c>
      <c r="D348" t="s">
        <v>1017</v>
      </c>
      <c r="E348">
        <v>77629</v>
      </c>
      <c r="F348">
        <v>7104.4473256235551</v>
      </c>
      <c r="G348" t="s">
        <v>1023</v>
      </c>
      <c r="H348" s="3">
        <v>45528</v>
      </c>
      <c r="I348" s="3">
        <v>45180</v>
      </c>
      <c r="J348" s="3">
        <v>45407</v>
      </c>
      <c r="K348" t="s">
        <v>1026</v>
      </c>
      <c r="L348">
        <v>41</v>
      </c>
      <c r="M348">
        <v>3813</v>
      </c>
    </row>
    <row r="349" spans="1:13" x14ac:dyDescent="0.35">
      <c r="A349" t="s">
        <v>360</v>
      </c>
      <c r="B349" t="s">
        <v>860</v>
      </c>
      <c r="C349" t="s">
        <v>1014</v>
      </c>
      <c r="D349" t="s">
        <v>1018</v>
      </c>
      <c r="E349">
        <v>54603</v>
      </c>
      <c r="F349">
        <v>22739.871404499139</v>
      </c>
      <c r="G349" t="s">
        <v>1022</v>
      </c>
      <c r="H349" s="3">
        <v>45411</v>
      </c>
      <c r="I349" s="3">
        <v>45117</v>
      </c>
      <c r="J349" s="3">
        <v>45397</v>
      </c>
      <c r="K349" t="s">
        <v>1025</v>
      </c>
      <c r="L349">
        <v>37</v>
      </c>
      <c r="M349">
        <v>13107</v>
      </c>
    </row>
    <row r="350" spans="1:13" x14ac:dyDescent="0.35">
      <c r="A350" t="s">
        <v>361</v>
      </c>
      <c r="B350" t="s">
        <v>861</v>
      </c>
      <c r="C350" t="s">
        <v>1014</v>
      </c>
      <c r="D350" t="s">
        <v>1018</v>
      </c>
      <c r="E350">
        <v>83974</v>
      </c>
      <c r="F350">
        <v>60639.633902088972</v>
      </c>
      <c r="G350" t="s">
        <v>1022</v>
      </c>
      <c r="H350" s="3">
        <v>45372</v>
      </c>
      <c r="I350" s="3">
        <v>45086</v>
      </c>
      <c r="J350" s="3">
        <v>45334</v>
      </c>
      <c r="K350" t="s">
        <v>1025</v>
      </c>
      <c r="L350">
        <v>33</v>
      </c>
      <c r="M350">
        <v>10801</v>
      </c>
    </row>
    <row r="351" spans="1:13" x14ac:dyDescent="0.35">
      <c r="A351" t="s">
        <v>362</v>
      </c>
      <c r="B351" t="s">
        <v>862</v>
      </c>
      <c r="C351" t="s">
        <v>1013</v>
      </c>
      <c r="D351" t="s">
        <v>1020</v>
      </c>
      <c r="E351">
        <v>28399</v>
      </c>
      <c r="F351">
        <v>0</v>
      </c>
      <c r="G351" t="s">
        <v>1023</v>
      </c>
      <c r="H351" s="3">
        <v>45535</v>
      </c>
      <c r="I351" s="3">
        <v>45228</v>
      </c>
      <c r="J351" s="3">
        <v>45574</v>
      </c>
      <c r="K351" t="s">
        <v>1026</v>
      </c>
      <c r="L351">
        <v>29</v>
      </c>
      <c r="M351">
        <v>4461</v>
      </c>
    </row>
    <row r="352" spans="1:13" x14ac:dyDescent="0.35">
      <c r="A352" t="s">
        <v>363</v>
      </c>
      <c r="B352" t="s">
        <v>863</v>
      </c>
      <c r="C352" t="s">
        <v>1014</v>
      </c>
      <c r="D352" t="s">
        <v>1018</v>
      </c>
      <c r="E352">
        <v>87382</v>
      </c>
      <c r="F352">
        <v>23292.97463194569</v>
      </c>
      <c r="G352" t="s">
        <v>1023</v>
      </c>
      <c r="H352" s="3">
        <v>45384</v>
      </c>
      <c r="I352" s="3">
        <v>44984</v>
      </c>
      <c r="J352" s="3">
        <v>45336</v>
      </c>
      <c r="K352" t="s">
        <v>1026</v>
      </c>
      <c r="L352">
        <v>65</v>
      </c>
      <c r="M352">
        <v>6120</v>
      </c>
    </row>
    <row r="353" spans="1:13" x14ac:dyDescent="0.35">
      <c r="A353" t="s">
        <v>364</v>
      </c>
      <c r="B353" t="s">
        <v>864</v>
      </c>
      <c r="C353" t="s">
        <v>1015</v>
      </c>
      <c r="D353" t="s">
        <v>1019</v>
      </c>
      <c r="E353">
        <v>83244</v>
      </c>
      <c r="F353">
        <v>70217.354966732077</v>
      </c>
      <c r="G353" t="s">
        <v>1023</v>
      </c>
      <c r="H353" s="3">
        <v>45414</v>
      </c>
      <c r="I353" s="3">
        <v>45012</v>
      </c>
      <c r="J353" s="3">
        <v>45566</v>
      </c>
      <c r="K353" t="s">
        <v>1025</v>
      </c>
      <c r="L353">
        <v>32</v>
      </c>
      <c r="M353">
        <v>8124</v>
      </c>
    </row>
    <row r="354" spans="1:13" x14ac:dyDescent="0.35">
      <c r="A354" t="s">
        <v>365</v>
      </c>
      <c r="B354" t="s">
        <v>865</v>
      </c>
      <c r="C354" t="s">
        <v>1015</v>
      </c>
      <c r="D354" t="s">
        <v>1017</v>
      </c>
      <c r="E354">
        <v>78534</v>
      </c>
      <c r="F354">
        <v>28217.365368543189</v>
      </c>
      <c r="G354" t="s">
        <v>1023</v>
      </c>
      <c r="H354" s="3">
        <v>45362</v>
      </c>
      <c r="I354" s="3">
        <v>45108</v>
      </c>
      <c r="J354" s="3">
        <v>45494</v>
      </c>
      <c r="K354" t="s">
        <v>1026</v>
      </c>
      <c r="L354">
        <v>50</v>
      </c>
      <c r="M354">
        <v>10475</v>
      </c>
    </row>
    <row r="355" spans="1:13" x14ac:dyDescent="0.35">
      <c r="A355" t="s">
        <v>366</v>
      </c>
      <c r="B355" t="s">
        <v>866</v>
      </c>
      <c r="C355" t="s">
        <v>1014</v>
      </c>
      <c r="D355" t="s">
        <v>1020</v>
      </c>
      <c r="E355">
        <v>57106</v>
      </c>
      <c r="F355">
        <v>8946.2752938187132</v>
      </c>
      <c r="G355" t="s">
        <v>1023</v>
      </c>
      <c r="H355" s="3">
        <v>45554</v>
      </c>
      <c r="I355" s="3">
        <v>45167</v>
      </c>
      <c r="J355" s="3">
        <v>45558</v>
      </c>
      <c r="K355" t="s">
        <v>1026</v>
      </c>
      <c r="L355">
        <v>49</v>
      </c>
      <c r="M355">
        <v>13120</v>
      </c>
    </row>
    <row r="356" spans="1:13" x14ac:dyDescent="0.35">
      <c r="A356" t="s">
        <v>367</v>
      </c>
      <c r="B356" t="s">
        <v>867</v>
      </c>
      <c r="C356" t="s">
        <v>1014</v>
      </c>
      <c r="D356" t="s">
        <v>1018</v>
      </c>
      <c r="E356">
        <v>32678</v>
      </c>
      <c r="F356">
        <v>20592.33626794034</v>
      </c>
      <c r="G356" t="s">
        <v>1022</v>
      </c>
      <c r="H356" s="3">
        <v>45382</v>
      </c>
      <c r="I356" s="3">
        <v>45094</v>
      </c>
      <c r="J356" s="3">
        <v>45445</v>
      </c>
      <c r="K356" t="s">
        <v>1026</v>
      </c>
      <c r="L356">
        <v>22</v>
      </c>
      <c r="M356">
        <v>6396</v>
      </c>
    </row>
    <row r="357" spans="1:13" x14ac:dyDescent="0.35">
      <c r="A357" t="s">
        <v>368</v>
      </c>
      <c r="B357" t="s">
        <v>868</v>
      </c>
      <c r="C357" t="s">
        <v>1013</v>
      </c>
      <c r="D357" t="s">
        <v>1019</v>
      </c>
      <c r="E357">
        <v>78218</v>
      </c>
      <c r="F357">
        <v>11070.22748164951</v>
      </c>
      <c r="G357" t="s">
        <v>1023</v>
      </c>
      <c r="H357" s="3">
        <v>45450</v>
      </c>
      <c r="I357" s="3">
        <v>45057</v>
      </c>
      <c r="J357" s="3">
        <v>45529</v>
      </c>
      <c r="K357" t="s">
        <v>1026</v>
      </c>
      <c r="L357">
        <v>49</v>
      </c>
      <c r="M357">
        <v>11283</v>
      </c>
    </row>
    <row r="358" spans="1:13" x14ac:dyDescent="0.35">
      <c r="A358" t="s">
        <v>369</v>
      </c>
      <c r="B358" t="s">
        <v>869</v>
      </c>
      <c r="C358" t="s">
        <v>1016</v>
      </c>
      <c r="D358" t="s">
        <v>1019</v>
      </c>
      <c r="E358">
        <v>65230</v>
      </c>
      <c r="F358">
        <v>11204.67579378986</v>
      </c>
      <c r="G358" t="s">
        <v>1023</v>
      </c>
      <c r="H358" s="3">
        <v>45364</v>
      </c>
      <c r="I358" s="3">
        <v>45121</v>
      </c>
      <c r="J358" s="3">
        <v>45325</v>
      </c>
      <c r="K358" t="s">
        <v>1025</v>
      </c>
      <c r="L358">
        <v>25</v>
      </c>
      <c r="M358">
        <v>2816</v>
      </c>
    </row>
    <row r="359" spans="1:13" x14ac:dyDescent="0.35">
      <c r="A359" t="s">
        <v>370</v>
      </c>
      <c r="B359" t="s">
        <v>870</v>
      </c>
      <c r="C359" t="s">
        <v>1014</v>
      </c>
      <c r="D359" t="s">
        <v>1018</v>
      </c>
      <c r="E359">
        <v>76055</v>
      </c>
      <c r="F359">
        <v>73784.146488835147</v>
      </c>
      <c r="G359" t="s">
        <v>1023</v>
      </c>
      <c r="H359" s="3">
        <v>45551</v>
      </c>
      <c r="I359" s="3">
        <v>45208</v>
      </c>
      <c r="J359" s="3">
        <v>45318</v>
      </c>
      <c r="K359" t="s">
        <v>1025</v>
      </c>
      <c r="L359">
        <v>48</v>
      </c>
      <c r="M359">
        <v>9304</v>
      </c>
    </row>
    <row r="360" spans="1:13" x14ac:dyDescent="0.35">
      <c r="A360" t="s">
        <v>371</v>
      </c>
      <c r="B360" t="s">
        <v>871</v>
      </c>
      <c r="C360" t="s">
        <v>1015</v>
      </c>
      <c r="D360" t="s">
        <v>1017</v>
      </c>
      <c r="E360">
        <v>58373</v>
      </c>
      <c r="F360">
        <v>5277.2190598362586</v>
      </c>
      <c r="G360" t="s">
        <v>1022</v>
      </c>
      <c r="H360" s="3">
        <v>45319</v>
      </c>
      <c r="I360" s="3">
        <v>45155</v>
      </c>
      <c r="J360" s="3">
        <v>45514</v>
      </c>
      <c r="K360" t="s">
        <v>1025</v>
      </c>
      <c r="L360">
        <v>27</v>
      </c>
      <c r="M360">
        <v>9331</v>
      </c>
    </row>
    <row r="361" spans="1:13" x14ac:dyDescent="0.35">
      <c r="A361" t="s">
        <v>372</v>
      </c>
      <c r="B361" t="s">
        <v>872</v>
      </c>
      <c r="C361" t="s">
        <v>1013</v>
      </c>
      <c r="D361" t="s">
        <v>1018</v>
      </c>
      <c r="E361">
        <v>33480</v>
      </c>
      <c r="F361">
        <v>68219.974328028256</v>
      </c>
      <c r="G361" t="s">
        <v>1023</v>
      </c>
      <c r="H361" s="3">
        <v>45387</v>
      </c>
      <c r="I361" s="3">
        <v>45120</v>
      </c>
      <c r="J361" s="3">
        <v>45390</v>
      </c>
      <c r="K361" t="s">
        <v>1026</v>
      </c>
      <c r="L361">
        <v>63</v>
      </c>
      <c r="M361">
        <v>2082</v>
      </c>
    </row>
    <row r="362" spans="1:13" x14ac:dyDescent="0.35">
      <c r="A362" t="s">
        <v>373</v>
      </c>
      <c r="B362" t="s">
        <v>873</v>
      </c>
      <c r="C362" t="s">
        <v>1014</v>
      </c>
      <c r="D362" t="s">
        <v>1020</v>
      </c>
      <c r="E362">
        <v>87230</v>
      </c>
      <c r="F362">
        <v>56345.117872909534</v>
      </c>
      <c r="G362" t="s">
        <v>1024</v>
      </c>
      <c r="H362" s="3">
        <v>45590</v>
      </c>
      <c r="I362" s="3">
        <v>45270</v>
      </c>
      <c r="J362" s="3">
        <v>45506</v>
      </c>
      <c r="K362" t="s">
        <v>1026</v>
      </c>
      <c r="L362">
        <v>64</v>
      </c>
      <c r="M362">
        <v>3920</v>
      </c>
    </row>
    <row r="363" spans="1:13" x14ac:dyDescent="0.35">
      <c r="A363" t="s">
        <v>374</v>
      </c>
      <c r="B363" t="s">
        <v>874</v>
      </c>
      <c r="C363" t="s">
        <v>1015</v>
      </c>
      <c r="D363" t="s">
        <v>1018</v>
      </c>
      <c r="E363">
        <v>70836</v>
      </c>
      <c r="F363">
        <v>48399.546307208162</v>
      </c>
      <c r="G363" t="s">
        <v>1023</v>
      </c>
      <c r="H363" s="3">
        <v>45433</v>
      </c>
      <c r="I363" s="3">
        <v>44953</v>
      </c>
      <c r="J363" s="3">
        <v>45632</v>
      </c>
      <c r="K363" t="s">
        <v>1026</v>
      </c>
      <c r="L363">
        <v>62</v>
      </c>
      <c r="M363">
        <v>9817</v>
      </c>
    </row>
    <row r="364" spans="1:13" x14ac:dyDescent="0.35">
      <c r="A364" t="s">
        <v>375</v>
      </c>
      <c r="B364" t="s">
        <v>875</v>
      </c>
      <c r="C364" t="s">
        <v>1015</v>
      </c>
      <c r="D364" t="s">
        <v>1019</v>
      </c>
      <c r="E364">
        <v>74258</v>
      </c>
      <c r="F364">
        <v>33957.289178896142</v>
      </c>
      <c r="G364" t="s">
        <v>1023</v>
      </c>
      <c r="H364" s="3">
        <v>45486</v>
      </c>
      <c r="I364" s="3">
        <v>45204</v>
      </c>
      <c r="J364" s="3">
        <v>45368</v>
      </c>
      <c r="K364" t="s">
        <v>1026</v>
      </c>
      <c r="L364">
        <v>63</v>
      </c>
      <c r="M364">
        <v>13683</v>
      </c>
    </row>
    <row r="365" spans="1:13" x14ac:dyDescent="0.35">
      <c r="A365" t="s">
        <v>376</v>
      </c>
      <c r="B365" t="s">
        <v>876</v>
      </c>
      <c r="C365" t="s">
        <v>1016</v>
      </c>
      <c r="D365" t="s">
        <v>1018</v>
      </c>
      <c r="E365">
        <v>41986</v>
      </c>
      <c r="F365">
        <v>53918.572563316833</v>
      </c>
      <c r="G365" t="s">
        <v>1023</v>
      </c>
      <c r="H365" s="3">
        <v>45352</v>
      </c>
      <c r="I365" s="3">
        <v>45153</v>
      </c>
      <c r="J365" s="3">
        <v>45381</v>
      </c>
      <c r="K365" t="s">
        <v>1026</v>
      </c>
      <c r="L365">
        <v>52</v>
      </c>
      <c r="M365">
        <v>13336</v>
      </c>
    </row>
    <row r="366" spans="1:13" x14ac:dyDescent="0.35">
      <c r="A366" t="s">
        <v>377</v>
      </c>
      <c r="B366" t="s">
        <v>877</v>
      </c>
      <c r="C366" t="s">
        <v>1013</v>
      </c>
      <c r="D366" t="s">
        <v>1017</v>
      </c>
      <c r="E366">
        <v>26160</v>
      </c>
      <c r="F366">
        <v>10059.111328214311</v>
      </c>
      <c r="G366" t="s">
        <v>1023</v>
      </c>
      <c r="H366" s="3">
        <v>45576</v>
      </c>
      <c r="I366" s="3">
        <v>44971</v>
      </c>
      <c r="J366" s="3">
        <v>45399</v>
      </c>
      <c r="K366" t="s">
        <v>1026</v>
      </c>
      <c r="L366">
        <v>36</v>
      </c>
      <c r="M366">
        <v>4093</v>
      </c>
    </row>
    <row r="367" spans="1:13" x14ac:dyDescent="0.35">
      <c r="A367" t="s">
        <v>378</v>
      </c>
      <c r="B367" t="s">
        <v>878</v>
      </c>
      <c r="C367" t="s">
        <v>1013</v>
      </c>
      <c r="D367" t="s">
        <v>1021</v>
      </c>
      <c r="E367">
        <v>87595</v>
      </c>
      <c r="F367">
        <v>22623.333439132519</v>
      </c>
      <c r="G367" t="s">
        <v>1023</v>
      </c>
      <c r="H367" s="3">
        <v>45465</v>
      </c>
      <c r="I367" s="3">
        <v>45152</v>
      </c>
      <c r="J367" s="3">
        <v>45488</v>
      </c>
      <c r="K367" t="s">
        <v>1026</v>
      </c>
      <c r="L367">
        <v>67</v>
      </c>
      <c r="M367">
        <v>14905</v>
      </c>
    </row>
    <row r="368" spans="1:13" x14ac:dyDescent="0.35">
      <c r="A368" t="s">
        <v>379</v>
      </c>
      <c r="B368" t="s">
        <v>879</v>
      </c>
      <c r="C368" t="s">
        <v>1016</v>
      </c>
      <c r="D368" t="s">
        <v>1018</v>
      </c>
      <c r="E368">
        <v>81111</v>
      </c>
      <c r="F368">
        <v>37756.552386594849</v>
      </c>
      <c r="G368" t="s">
        <v>1023</v>
      </c>
      <c r="H368" s="3">
        <v>45588</v>
      </c>
      <c r="I368" s="3">
        <v>45233</v>
      </c>
      <c r="J368" s="3">
        <v>45301</v>
      </c>
      <c r="K368" t="s">
        <v>1025</v>
      </c>
      <c r="L368">
        <v>30</v>
      </c>
      <c r="M368">
        <v>9071</v>
      </c>
    </row>
    <row r="369" spans="1:13" x14ac:dyDescent="0.35">
      <c r="A369" t="s">
        <v>380</v>
      </c>
      <c r="B369" t="s">
        <v>880</v>
      </c>
      <c r="C369" t="s">
        <v>1016</v>
      </c>
      <c r="D369" t="s">
        <v>1017</v>
      </c>
      <c r="E369">
        <v>66929</v>
      </c>
      <c r="F369">
        <v>44847.518399495857</v>
      </c>
      <c r="G369" t="s">
        <v>1023</v>
      </c>
      <c r="H369" s="3">
        <v>45421</v>
      </c>
      <c r="I369" s="3">
        <v>45226</v>
      </c>
      <c r="J369" s="3">
        <v>45416</v>
      </c>
      <c r="K369" t="s">
        <v>1025</v>
      </c>
      <c r="L369">
        <v>32</v>
      </c>
      <c r="M369">
        <v>9967</v>
      </c>
    </row>
    <row r="370" spans="1:13" x14ac:dyDescent="0.35">
      <c r="A370" t="s">
        <v>381</v>
      </c>
      <c r="B370" t="s">
        <v>881</v>
      </c>
      <c r="C370" t="s">
        <v>1013</v>
      </c>
      <c r="D370" t="s">
        <v>1017</v>
      </c>
      <c r="E370">
        <v>75506</v>
      </c>
      <c r="F370">
        <v>71930.092345538273</v>
      </c>
      <c r="G370" t="s">
        <v>1022</v>
      </c>
      <c r="H370" s="3">
        <v>45493</v>
      </c>
      <c r="I370" s="3">
        <v>45033</v>
      </c>
      <c r="J370" s="3">
        <v>45568</v>
      </c>
      <c r="K370" t="s">
        <v>1026</v>
      </c>
      <c r="L370">
        <v>69</v>
      </c>
      <c r="M370">
        <v>10367</v>
      </c>
    </row>
    <row r="371" spans="1:13" x14ac:dyDescent="0.35">
      <c r="A371" t="s">
        <v>382</v>
      </c>
      <c r="B371" t="s">
        <v>882</v>
      </c>
      <c r="C371" t="s">
        <v>1013</v>
      </c>
      <c r="D371" t="s">
        <v>1019</v>
      </c>
      <c r="E371">
        <v>36911</v>
      </c>
      <c r="F371">
        <v>43523.916587541127</v>
      </c>
      <c r="G371" t="s">
        <v>1023</v>
      </c>
      <c r="H371" s="3">
        <v>45443</v>
      </c>
      <c r="I371" s="3">
        <v>45097</v>
      </c>
      <c r="J371" s="3">
        <v>45552</v>
      </c>
      <c r="K371" t="s">
        <v>1026</v>
      </c>
      <c r="L371">
        <v>30</v>
      </c>
      <c r="M371">
        <v>7285</v>
      </c>
    </row>
    <row r="372" spans="1:13" x14ac:dyDescent="0.35">
      <c r="A372" t="s">
        <v>383</v>
      </c>
      <c r="B372" t="s">
        <v>883</v>
      </c>
      <c r="C372" t="s">
        <v>1014</v>
      </c>
      <c r="D372" t="s">
        <v>1017</v>
      </c>
      <c r="E372">
        <v>89127</v>
      </c>
      <c r="F372">
        <v>4882.1939113913186</v>
      </c>
      <c r="G372" t="s">
        <v>1022</v>
      </c>
      <c r="H372" s="3">
        <v>45476</v>
      </c>
      <c r="I372" s="3">
        <v>45082</v>
      </c>
      <c r="J372" s="3">
        <v>45432</v>
      </c>
      <c r="K372" t="s">
        <v>1026</v>
      </c>
      <c r="L372">
        <v>50</v>
      </c>
      <c r="M372">
        <v>12896</v>
      </c>
    </row>
    <row r="373" spans="1:13" x14ac:dyDescent="0.35">
      <c r="A373" t="s">
        <v>384</v>
      </c>
      <c r="B373" t="s">
        <v>884</v>
      </c>
      <c r="C373" t="s">
        <v>1014</v>
      </c>
      <c r="D373" t="s">
        <v>1017</v>
      </c>
      <c r="E373">
        <v>33821</v>
      </c>
      <c r="F373">
        <v>0</v>
      </c>
      <c r="G373" t="s">
        <v>1023</v>
      </c>
      <c r="H373" s="3">
        <v>45562</v>
      </c>
      <c r="I373" s="3">
        <v>44931</v>
      </c>
      <c r="J373" s="3">
        <v>45319</v>
      </c>
      <c r="K373" t="s">
        <v>1025</v>
      </c>
      <c r="L373">
        <v>47</v>
      </c>
      <c r="M373">
        <v>6937</v>
      </c>
    </row>
    <row r="374" spans="1:13" x14ac:dyDescent="0.35">
      <c r="A374" t="s">
        <v>385</v>
      </c>
      <c r="B374" t="s">
        <v>885</v>
      </c>
      <c r="C374" t="s">
        <v>1016</v>
      </c>
      <c r="D374" t="s">
        <v>1017</v>
      </c>
      <c r="E374">
        <v>77039</v>
      </c>
      <c r="F374">
        <v>23275.543444361421</v>
      </c>
      <c r="G374" t="s">
        <v>1023</v>
      </c>
      <c r="H374" s="3">
        <v>45310</v>
      </c>
      <c r="I374" s="3">
        <v>45146</v>
      </c>
      <c r="J374" s="3">
        <v>45511</v>
      </c>
      <c r="K374" t="s">
        <v>1025</v>
      </c>
      <c r="L374">
        <v>63</v>
      </c>
      <c r="M374">
        <v>2369</v>
      </c>
    </row>
    <row r="375" spans="1:13" x14ac:dyDescent="0.35">
      <c r="A375" t="s">
        <v>386</v>
      </c>
      <c r="B375" t="s">
        <v>886</v>
      </c>
      <c r="C375" t="s">
        <v>1014</v>
      </c>
      <c r="D375" t="s">
        <v>1017</v>
      </c>
      <c r="E375">
        <v>62535</v>
      </c>
      <c r="F375">
        <v>34397.105038438072</v>
      </c>
      <c r="G375" t="s">
        <v>1023</v>
      </c>
      <c r="H375" s="3">
        <v>45321</v>
      </c>
      <c r="I375" s="3">
        <v>45192</v>
      </c>
      <c r="J375" s="3">
        <v>45459</v>
      </c>
      <c r="K375" t="s">
        <v>1026</v>
      </c>
      <c r="L375">
        <v>25</v>
      </c>
      <c r="M375">
        <v>3818</v>
      </c>
    </row>
    <row r="376" spans="1:13" x14ac:dyDescent="0.35">
      <c r="A376" t="s">
        <v>387</v>
      </c>
      <c r="B376" t="s">
        <v>887</v>
      </c>
      <c r="C376" t="s">
        <v>1015</v>
      </c>
      <c r="D376" t="s">
        <v>1020</v>
      </c>
      <c r="E376">
        <v>86458</v>
      </c>
      <c r="F376">
        <v>23452.219007941279</v>
      </c>
      <c r="G376" t="s">
        <v>1023</v>
      </c>
      <c r="H376" s="3">
        <v>45364</v>
      </c>
      <c r="I376" s="3">
        <v>45283</v>
      </c>
      <c r="J376" s="3">
        <v>45330</v>
      </c>
      <c r="K376" t="s">
        <v>1026</v>
      </c>
      <c r="L376">
        <v>60</v>
      </c>
      <c r="M376">
        <v>4101</v>
      </c>
    </row>
    <row r="377" spans="1:13" x14ac:dyDescent="0.35">
      <c r="A377" t="s">
        <v>388</v>
      </c>
      <c r="B377" t="s">
        <v>888</v>
      </c>
      <c r="C377" t="s">
        <v>1014</v>
      </c>
      <c r="D377" t="s">
        <v>1020</v>
      </c>
      <c r="E377">
        <v>14175</v>
      </c>
      <c r="F377">
        <v>82322.059328252784</v>
      </c>
      <c r="G377" t="s">
        <v>1023</v>
      </c>
      <c r="H377" s="3">
        <v>45538</v>
      </c>
      <c r="I377" s="3">
        <v>45273</v>
      </c>
      <c r="J377" s="3">
        <v>45426</v>
      </c>
      <c r="K377" t="s">
        <v>1025</v>
      </c>
      <c r="L377">
        <v>35</v>
      </c>
      <c r="M377">
        <v>14977</v>
      </c>
    </row>
    <row r="378" spans="1:13" x14ac:dyDescent="0.35">
      <c r="A378" t="s">
        <v>389</v>
      </c>
      <c r="B378" t="s">
        <v>889</v>
      </c>
      <c r="C378" t="s">
        <v>1014</v>
      </c>
      <c r="D378" t="s">
        <v>1019</v>
      </c>
      <c r="E378">
        <v>56771</v>
      </c>
      <c r="F378">
        <v>64978.620964464542</v>
      </c>
      <c r="G378" t="s">
        <v>1023</v>
      </c>
      <c r="H378" s="3">
        <v>45352</v>
      </c>
      <c r="I378" s="3">
        <v>45262</v>
      </c>
      <c r="J378" s="3">
        <v>45404</v>
      </c>
      <c r="K378" t="s">
        <v>1025</v>
      </c>
      <c r="L378">
        <v>23</v>
      </c>
      <c r="M378">
        <v>5490</v>
      </c>
    </row>
    <row r="379" spans="1:13" x14ac:dyDescent="0.35">
      <c r="A379" t="s">
        <v>390</v>
      </c>
      <c r="B379" t="s">
        <v>890</v>
      </c>
      <c r="C379" t="s">
        <v>1015</v>
      </c>
      <c r="D379" t="s">
        <v>1018</v>
      </c>
      <c r="E379">
        <v>88925</v>
      </c>
      <c r="F379">
        <v>19976.188022207931</v>
      </c>
      <c r="G379" t="s">
        <v>1023</v>
      </c>
      <c r="H379" s="3">
        <v>45460</v>
      </c>
      <c r="I379" s="3">
        <v>44974</v>
      </c>
      <c r="J379" s="3">
        <v>45335</v>
      </c>
      <c r="K379" t="s">
        <v>1025</v>
      </c>
      <c r="L379">
        <v>54</v>
      </c>
      <c r="M379">
        <v>3779</v>
      </c>
    </row>
    <row r="380" spans="1:13" x14ac:dyDescent="0.35">
      <c r="A380" t="s">
        <v>391</v>
      </c>
      <c r="B380" t="s">
        <v>891</v>
      </c>
      <c r="C380" t="s">
        <v>1016</v>
      </c>
      <c r="D380" t="s">
        <v>1017</v>
      </c>
      <c r="E380">
        <v>68358</v>
      </c>
      <c r="F380">
        <v>44449.864232188491</v>
      </c>
      <c r="G380" t="s">
        <v>1023</v>
      </c>
      <c r="H380" s="3">
        <v>45341</v>
      </c>
      <c r="I380" s="3">
        <v>45195</v>
      </c>
      <c r="J380" s="3">
        <v>45390</v>
      </c>
      <c r="K380" t="s">
        <v>1025</v>
      </c>
      <c r="L380">
        <v>67</v>
      </c>
      <c r="M380">
        <v>9674</v>
      </c>
    </row>
    <row r="381" spans="1:13" x14ac:dyDescent="0.35">
      <c r="A381" t="s">
        <v>392</v>
      </c>
      <c r="B381" t="s">
        <v>892</v>
      </c>
      <c r="C381" t="s">
        <v>1015</v>
      </c>
      <c r="D381" t="s">
        <v>1018</v>
      </c>
      <c r="E381">
        <v>19327</v>
      </c>
      <c r="F381">
        <v>26209.61215547975</v>
      </c>
      <c r="G381" t="s">
        <v>1023</v>
      </c>
      <c r="H381" s="3">
        <v>45505</v>
      </c>
      <c r="I381" s="3">
        <v>45221</v>
      </c>
      <c r="J381" s="3">
        <v>45521</v>
      </c>
      <c r="K381" t="s">
        <v>1026</v>
      </c>
      <c r="L381">
        <v>45</v>
      </c>
      <c r="M381">
        <v>3364</v>
      </c>
    </row>
    <row r="382" spans="1:13" x14ac:dyDescent="0.35">
      <c r="A382" t="s">
        <v>393</v>
      </c>
      <c r="B382" t="s">
        <v>893</v>
      </c>
      <c r="C382" t="s">
        <v>1014</v>
      </c>
      <c r="D382" t="s">
        <v>1018</v>
      </c>
      <c r="E382">
        <v>49057</v>
      </c>
      <c r="F382">
        <v>53301.242304989733</v>
      </c>
      <c r="G382" t="s">
        <v>1024</v>
      </c>
      <c r="H382" s="3">
        <v>45437</v>
      </c>
      <c r="I382" s="3">
        <v>44954</v>
      </c>
      <c r="J382" s="3">
        <v>45550</v>
      </c>
      <c r="K382" t="s">
        <v>1025</v>
      </c>
      <c r="L382">
        <v>31</v>
      </c>
      <c r="M382">
        <v>9294</v>
      </c>
    </row>
    <row r="383" spans="1:13" x14ac:dyDescent="0.35">
      <c r="A383" t="s">
        <v>394</v>
      </c>
      <c r="B383" t="s">
        <v>894</v>
      </c>
      <c r="C383" t="s">
        <v>1016</v>
      </c>
      <c r="D383" t="s">
        <v>1019</v>
      </c>
      <c r="E383">
        <v>8150</v>
      </c>
      <c r="F383">
        <v>29116.19819069788</v>
      </c>
      <c r="G383" t="s">
        <v>1022</v>
      </c>
      <c r="H383" s="3">
        <v>45429</v>
      </c>
      <c r="I383" s="3">
        <v>45064</v>
      </c>
      <c r="J383" s="3">
        <v>45583</v>
      </c>
      <c r="K383" t="s">
        <v>1025</v>
      </c>
      <c r="L383">
        <v>30</v>
      </c>
      <c r="M383">
        <v>14654</v>
      </c>
    </row>
    <row r="384" spans="1:13" x14ac:dyDescent="0.35">
      <c r="A384" t="s">
        <v>395</v>
      </c>
      <c r="B384" t="s">
        <v>895</v>
      </c>
      <c r="C384" t="s">
        <v>1014</v>
      </c>
      <c r="D384" t="s">
        <v>1017</v>
      </c>
      <c r="E384">
        <v>6425</v>
      </c>
      <c r="F384">
        <v>43072.721276959353</v>
      </c>
      <c r="G384" t="s">
        <v>1022</v>
      </c>
      <c r="H384" s="3">
        <v>45357</v>
      </c>
      <c r="I384" s="3">
        <v>45172</v>
      </c>
      <c r="J384" s="3">
        <v>45555</v>
      </c>
      <c r="K384" t="s">
        <v>1026</v>
      </c>
      <c r="L384">
        <v>56</v>
      </c>
      <c r="M384">
        <v>13534</v>
      </c>
    </row>
    <row r="385" spans="1:13" x14ac:dyDescent="0.35">
      <c r="A385" t="s">
        <v>396</v>
      </c>
      <c r="B385" t="s">
        <v>896</v>
      </c>
      <c r="C385" t="s">
        <v>1015</v>
      </c>
      <c r="D385" t="s">
        <v>1017</v>
      </c>
      <c r="E385">
        <v>18032</v>
      </c>
      <c r="F385">
        <v>34536.713462832347</v>
      </c>
      <c r="G385" t="s">
        <v>1022</v>
      </c>
      <c r="H385" s="3">
        <v>45317</v>
      </c>
      <c r="I385" s="3">
        <v>45224</v>
      </c>
      <c r="J385" s="3">
        <v>45491</v>
      </c>
      <c r="K385" t="s">
        <v>1025</v>
      </c>
      <c r="L385">
        <v>44</v>
      </c>
      <c r="M385">
        <v>14931</v>
      </c>
    </row>
    <row r="386" spans="1:13" x14ac:dyDescent="0.35">
      <c r="A386" t="s">
        <v>397</v>
      </c>
      <c r="B386" t="s">
        <v>897</v>
      </c>
      <c r="C386" t="s">
        <v>1015</v>
      </c>
      <c r="D386" t="s">
        <v>1021</v>
      </c>
      <c r="E386">
        <v>4198</v>
      </c>
      <c r="F386">
        <v>48800.651717921217</v>
      </c>
      <c r="G386" t="s">
        <v>1023</v>
      </c>
      <c r="H386" s="3">
        <v>45331</v>
      </c>
      <c r="I386" s="3">
        <v>44955</v>
      </c>
      <c r="J386" s="3">
        <v>45416</v>
      </c>
      <c r="K386" t="s">
        <v>1025</v>
      </c>
      <c r="L386">
        <v>37</v>
      </c>
      <c r="M386">
        <v>5676</v>
      </c>
    </row>
    <row r="387" spans="1:13" x14ac:dyDescent="0.35">
      <c r="A387" t="s">
        <v>398</v>
      </c>
      <c r="B387" t="s">
        <v>898</v>
      </c>
      <c r="C387" t="s">
        <v>1014</v>
      </c>
      <c r="D387" t="s">
        <v>1018</v>
      </c>
      <c r="E387">
        <v>62500</v>
      </c>
      <c r="F387">
        <v>27713.527627153911</v>
      </c>
      <c r="G387" t="s">
        <v>1023</v>
      </c>
      <c r="H387" s="3">
        <v>45309</v>
      </c>
      <c r="I387" s="3">
        <v>44958</v>
      </c>
      <c r="J387" s="3">
        <v>45559</v>
      </c>
      <c r="K387" t="s">
        <v>1025</v>
      </c>
      <c r="L387">
        <v>38</v>
      </c>
      <c r="M387">
        <v>4426</v>
      </c>
    </row>
    <row r="388" spans="1:13" x14ac:dyDescent="0.35">
      <c r="A388" t="s">
        <v>399</v>
      </c>
      <c r="B388" t="s">
        <v>899</v>
      </c>
      <c r="C388" t="s">
        <v>1013</v>
      </c>
      <c r="D388" t="s">
        <v>1018</v>
      </c>
      <c r="E388">
        <v>55394</v>
      </c>
      <c r="F388">
        <v>5624.8191684231924</v>
      </c>
      <c r="G388" t="s">
        <v>1024</v>
      </c>
      <c r="H388" s="3">
        <v>45455</v>
      </c>
      <c r="I388" s="3">
        <v>45094</v>
      </c>
      <c r="J388" s="3">
        <v>45586</v>
      </c>
      <c r="K388" t="s">
        <v>1026</v>
      </c>
      <c r="L388">
        <v>42</v>
      </c>
      <c r="M388">
        <v>10264</v>
      </c>
    </row>
    <row r="389" spans="1:13" x14ac:dyDescent="0.35">
      <c r="A389" t="s">
        <v>400</v>
      </c>
      <c r="B389" t="s">
        <v>900</v>
      </c>
      <c r="C389" t="s">
        <v>1013</v>
      </c>
      <c r="D389" t="s">
        <v>1020</v>
      </c>
      <c r="E389">
        <v>22079</v>
      </c>
      <c r="F389">
        <v>6686.5795748211312</v>
      </c>
      <c r="G389" t="s">
        <v>1023</v>
      </c>
      <c r="H389" s="3">
        <v>45496</v>
      </c>
      <c r="I389" s="3">
        <v>45280</v>
      </c>
      <c r="J389" s="3">
        <v>45613</v>
      </c>
      <c r="K389" t="s">
        <v>1025</v>
      </c>
      <c r="L389">
        <v>57</v>
      </c>
      <c r="M389">
        <v>10089</v>
      </c>
    </row>
    <row r="390" spans="1:13" x14ac:dyDescent="0.35">
      <c r="A390" t="s">
        <v>401</v>
      </c>
      <c r="B390" t="s">
        <v>901</v>
      </c>
      <c r="C390" t="s">
        <v>1015</v>
      </c>
      <c r="D390" t="s">
        <v>1021</v>
      </c>
      <c r="E390">
        <v>38220</v>
      </c>
      <c r="F390">
        <v>14185.45000654232</v>
      </c>
      <c r="G390" t="s">
        <v>1023</v>
      </c>
      <c r="H390" s="3">
        <v>45394</v>
      </c>
      <c r="I390" s="3">
        <v>45268</v>
      </c>
      <c r="J390" s="3">
        <v>45616</v>
      </c>
      <c r="K390" t="s">
        <v>1026</v>
      </c>
      <c r="L390">
        <v>37</v>
      </c>
      <c r="M390">
        <v>4962</v>
      </c>
    </row>
    <row r="391" spans="1:13" x14ac:dyDescent="0.35">
      <c r="A391" t="s">
        <v>402</v>
      </c>
      <c r="B391" t="s">
        <v>902</v>
      </c>
      <c r="C391" t="s">
        <v>1015</v>
      </c>
      <c r="D391" t="s">
        <v>1020</v>
      </c>
      <c r="E391">
        <v>43874</v>
      </c>
      <c r="F391">
        <v>20671.981888621991</v>
      </c>
      <c r="G391" t="s">
        <v>1023</v>
      </c>
      <c r="H391" s="3">
        <v>45328</v>
      </c>
      <c r="I391" s="3">
        <v>45131</v>
      </c>
      <c r="J391" s="3">
        <v>45475</v>
      </c>
      <c r="K391" t="s">
        <v>1026</v>
      </c>
      <c r="L391">
        <v>45</v>
      </c>
      <c r="M391">
        <v>2859</v>
      </c>
    </row>
    <row r="392" spans="1:13" x14ac:dyDescent="0.35">
      <c r="A392" t="s">
        <v>403</v>
      </c>
      <c r="B392" t="s">
        <v>903</v>
      </c>
      <c r="C392" t="s">
        <v>1013</v>
      </c>
      <c r="D392" t="s">
        <v>1020</v>
      </c>
      <c r="E392">
        <v>15859</v>
      </c>
      <c r="F392">
        <v>0</v>
      </c>
      <c r="G392" t="s">
        <v>1023</v>
      </c>
      <c r="H392" s="3">
        <v>45468</v>
      </c>
      <c r="I392" s="3">
        <v>45207</v>
      </c>
      <c r="J392" s="3">
        <v>45432</v>
      </c>
      <c r="K392" t="s">
        <v>1025</v>
      </c>
      <c r="L392">
        <v>25</v>
      </c>
      <c r="M392">
        <v>14048</v>
      </c>
    </row>
    <row r="393" spans="1:13" x14ac:dyDescent="0.35">
      <c r="A393" t="s">
        <v>404</v>
      </c>
      <c r="B393" t="s">
        <v>904</v>
      </c>
      <c r="C393" t="s">
        <v>1013</v>
      </c>
      <c r="D393" t="s">
        <v>1020</v>
      </c>
      <c r="E393">
        <v>52460</v>
      </c>
      <c r="F393">
        <v>0</v>
      </c>
      <c r="G393" t="s">
        <v>1023</v>
      </c>
      <c r="H393" s="3">
        <v>45562</v>
      </c>
      <c r="I393" s="3">
        <v>45027</v>
      </c>
      <c r="J393" s="3">
        <v>45460</v>
      </c>
      <c r="K393" t="s">
        <v>1025</v>
      </c>
      <c r="L393">
        <v>23</v>
      </c>
      <c r="M393">
        <v>6138</v>
      </c>
    </row>
    <row r="394" spans="1:13" x14ac:dyDescent="0.35">
      <c r="A394" t="s">
        <v>405</v>
      </c>
      <c r="B394" t="s">
        <v>905</v>
      </c>
      <c r="C394" t="s">
        <v>1014</v>
      </c>
      <c r="D394" t="s">
        <v>1019</v>
      </c>
      <c r="E394">
        <v>33419</v>
      </c>
      <c r="F394">
        <v>36900.270716568462</v>
      </c>
      <c r="G394" t="s">
        <v>1022</v>
      </c>
      <c r="H394" s="3">
        <v>45499</v>
      </c>
      <c r="I394" s="3">
        <v>45015</v>
      </c>
      <c r="J394" s="3">
        <v>45642</v>
      </c>
      <c r="K394" t="s">
        <v>1025</v>
      </c>
      <c r="L394">
        <v>63</v>
      </c>
      <c r="M394">
        <v>4424</v>
      </c>
    </row>
    <row r="395" spans="1:13" x14ac:dyDescent="0.35">
      <c r="A395" t="s">
        <v>406</v>
      </c>
      <c r="B395" t="s">
        <v>906</v>
      </c>
      <c r="C395" t="s">
        <v>1014</v>
      </c>
      <c r="D395" t="s">
        <v>1019</v>
      </c>
      <c r="E395">
        <v>10705</v>
      </c>
      <c r="F395">
        <v>22141.800973180609</v>
      </c>
      <c r="G395" t="s">
        <v>1023</v>
      </c>
      <c r="H395" s="3">
        <v>45494</v>
      </c>
      <c r="I395" s="3">
        <v>45199</v>
      </c>
      <c r="J395" s="3">
        <v>45466</v>
      </c>
      <c r="K395" t="s">
        <v>1025</v>
      </c>
      <c r="L395">
        <v>48</v>
      </c>
      <c r="M395">
        <v>11256</v>
      </c>
    </row>
    <row r="396" spans="1:13" x14ac:dyDescent="0.35">
      <c r="A396" t="s">
        <v>407</v>
      </c>
      <c r="B396" t="s">
        <v>907</v>
      </c>
      <c r="C396" t="s">
        <v>1013</v>
      </c>
      <c r="D396" t="s">
        <v>1020</v>
      </c>
      <c r="E396">
        <v>44880</v>
      </c>
      <c r="F396">
        <v>50106.545011141578</v>
      </c>
      <c r="G396" t="s">
        <v>1023</v>
      </c>
      <c r="H396" s="3">
        <v>45518</v>
      </c>
      <c r="I396" s="3">
        <v>45032</v>
      </c>
      <c r="J396" s="3">
        <v>45407</v>
      </c>
      <c r="K396" t="s">
        <v>1026</v>
      </c>
      <c r="L396">
        <v>53</v>
      </c>
      <c r="M396">
        <v>12409</v>
      </c>
    </row>
    <row r="397" spans="1:13" x14ac:dyDescent="0.35">
      <c r="A397" t="s">
        <v>408</v>
      </c>
      <c r="B397" t="s">
        <v>908</v>
      </c>
      <c r="C397" t="s">
        <v>1014</v>
      </c>
      <c r="D397" t="s">
        <v>1021</v>
      </c>
      <c r="E397">
        <v>25236</v>
      </c>
      <c r="F397">
        <v>80804.767325026274</v>
      </c>
      <c r="G397" t="s">
        <v>1024</v>
      </c>
      <c r="H397" s="3">
        <v>45454</v>
      </c>
      <c r="I397" s="3">
        <v>45282</v>
      </c>
      <c r="J397" s="3">
        <v>45395</v>
      </c>
      <c r="K397" t="s">
        <v>1025</v>
      </c>
      <c r="L397">
        <v>36</v>
      </c>
      <c r="M397">
        <v>6017</v>
      </c>
    </row>
    <row r="398" spans="1:13" x14ac:dyDescent="0.35">
      <c r="A398" t="s">
        <v>409</v>
      </c>
      <c r="B398" t="s">
        <v>909</v>
      </c>
      <c r="C398" t="s">
        <v>1014</v>
      </c>
      <c r="D398" t="s">
        <v>1018</v>
      </c>
      <c r="E398">
        <v>89955</v>
      </c>
      <c r="F398">
        <v>19804.23695626466</v>
      </c>
      <c r="G398" t="s">
        <v>1023</v>
      </c>
      <c r="H398" s="3">
        <v>45570</v>
      </c>
      <c r="I398" s="3">
        <v>44983</v>
      </c>
      <c r="J398" s="3">
        <v>45297</v>
      </c>
      <c r="K398" t="s">
        <v>1025</v>
      </c>
      <c r="L398">
        <v>62</v>
      </c>
      <c r="M398">
        <v>12451</v>
      </c>
    </row>
    <row r="399" spans="1:13" x14ac:dyDescent="0.35">
      <c r="A399" t="s">
        <v>410</v>
      </c>
      <c r="B399" t="s">
        <v>910</v>
      </c>
      <c r="C399" t="s">
        <v>1016</v>
      </c>
      <c r="D399" t="s">
        <v>1021</v>
      </c>
      <c r="E399">
        <v>87514</v>
      </c>
      <c r="F399">
        <v>25860.251723095069</v>
      </c>
      <c r="G399" t="s">
        <v>1023</v>
      </c>
      <c r="H399" s="3">
        <v>45584</v>
      </c>
      <c r="I399" s="3">
        <v>45202</v>
      </c>
      <c r="J399" s="3">
        <v>45612</v>
      </c>
      <c r="K399" t="s">
        <v>1025</v>
      </c>
      <c r="L399">
        <v>62</v>
      </c>
      <c r="M399">
        <v>13943</v>
      </c>
    </row>
    <row r="400" spans="1:13" x14ac:dyDescent="0.35">
      <c r="A400" t="s">
        <v>411</v>
      </c>
      <c r="B400" t="s">
        <v>911</v>
      </c>
      <c r="C400" t="s">
        <v>1014</v>
      </c>
      <c r="D400" t="s">
        <v>1017</v>
      </c>
      <c r="E400">
        <v>17358</v>
      </c>
      <c r="F400">
        <v>19768.127524997501</v>
      </c>
      <c r="G400" t="s">
        <v>1023</v>
      </c>
      <c r="H400" s="3">
        <v>45341</v>
      </c>
      <c r="I400" s="3">
        <v>44962</v>
      </c>
      <c r="J400" s="3">
        <v>45443</v>
      </c>
      <c r="K400" t="s">
        <v>1026</v>
      </c>
      <c r="L400">
        <v>35</v>
      </c>
      <c r="M400">
        <v>12278</v>
      </c>
    </row>
    <row r="401" spans="1:13" x14ac:dyDescent="0.35">
      <c r="A401" t="s">
        <v>412</v>
      </c>
      <c r="B401" t="s">
        <v>912</v>
      </c>
      <c r="C401" t="s">
        <v>1015</v>
      </c>
      <c r="D401" t="s">
        <v>1019</v>
      </c>
      <c r="E401">
        <v>96914</v>
      </c>
      <c r="F401">
        <v>19614.183619451731</v>
      </c>
      <c r="G401" t="s">
        <v>1022</v>
      </c>
      <c r="H401" s="3">
        <v>45518</v>
      </c>
      <c r="I401" s="3">
        <v>44953</v>
      </c>
      <c r="J401" s="3">
        <v>45379</v>
      </c>
      <c r="K401" t="s">
        <v>1025</v>
      </c>
      <c r="L401">
        <v>21</v>
      </c>
      <c r="M401">
        <v>10560</v>
      </c>
    </row>
    <row r="402" spans="1:13" x14ac:dyDescent="0.35">
      <c r="A402" t="s">
        <v>413</v>
      </c>
      <c r="B402" t="s">
        <v>913</v>
      </c>
      <c r="C402" t="s">
        <v>1014</v>
      </c>
      <c r="D402" t="s">
        <v>1018</v>
      </c>
      <c r="E402">
        <v>78918</v>
      </c>
      <c r="F402">
        <v>67594.266105139293</v>
      </c>
      <c r="G402" t="s">
        <v>1024</v>
      </c>
      <c r="H402" s="3">
        <v>45405</v>
      </c>
      <c r="I402" s="3">
        <v>45032</v>
      </c>
      <c r="J402" s="3">
        <v>45552</v>
      </c>
      <c r="K402" t="s">
        <v>1025</v>
      </c>
      <c r="L402">
        <v>53</v>
      </c>
      <c r="M402">
        <v>12996</v>
      </c>
    </row>
    <row r="403" spans="1:13" x14ac:dyDescent="0.35">
      <c r="A403" t="s">
        <v>414</v>
      </c>
      <c r="B403" t="s">
        <v>914</v>
      </c>
      <c r="C403" t="s">
        <v>1014</v>
      </c>
      <c r="D403" t="s">
        <v>1018</v>
      </c>
      <c r="E403">
        <v>16596</v>
      </c>
      <c r="F403">
        <v>19598.403245814719</v>
      </c>
      <c r="G403" t="s">
        <v>1023</v>
      </c>
      <c r="H403" s="3">
        <v>45561</v>
      </c>
      <c r="I403" s="3">
        <v>45268</v>
      </c>
      <c r="J403" s="3">
        <v>45592</v>
      </c>
      <c r="K403" t="s">
        <v>1026</v>
      </c>
      <c r="L403">
        <v>27</v>
      </c>
      <c r="M403">
        <v>10342</v>
      </c>
    </row>
    <row r="404" spans="1:13" x14ac:dyDescent="0.35">
      <c r="A404" t="s">
        <v>415</v>
      </c>
      <c r="B404" t="s">
        <v>915</v>
      </c>
      <c r="C404" t="s">
        <v>1013</v>
      </c>
      <c r="D404" t="s">
        <v>1017</v>
      </c>
      <c r="E404">
        <v>35572</v>
      </c>
      <c r="F404">
        <v>37965.311700110316</v>
      </c>
      <c r="G404" t="s">
        <v>1022</v>
      </c>
      <c r="H404" s="3">
        <v>45410</v>
      </c>
      <c r="I404" s="3">
        <v>45166</v>
      </c>
      <c r="J404" s="3">
        <v>45380</v>
      </c>
      <c r="K404" t="s">
        <v>1026</v>
      </c>
      <c r="L404">
        <v>32</v>
      </c>
      <c r="M404">
        <v>3134</v>
      </c>
    </row>
    <row r="405" spans="1:13" x14ac:dyDescent="0.35">
      <c r="A405" t="s">
        <v>416</v>
      </c>
      <c r="B405" t="s">
        <v>916</v>
      </c>
      <c r="C405" t="s">
        <v>1015</v>
      </c>
      <c r="D405" t="s">
        <v>1017</v>
      </c>
      <c r="E405">
        <v>80757</v>
      </c>
      <c r="F405">
        <v>4614.5826399980879</v>
      </c>
      <c r="G405" t="s">
        <v>1023</v>
      </c>
      <c r="H405" s="3">
        <v>45337</v>
      </c>
      <c r="I405" s="3">
        <v>45082</v>
      </c>
      <c r="J405" s="3">
        <v>45331</v>
      </c>
      <c r="K405" t="s">
        <v>1025</v>
      </c>
      <c r="L405">
        <v>61</v>
      </c>
      <c r="M405">
        <v>7166</v>
      </c>
    </row>
    <row r="406" spans="1:13" x14ac:dyDescent="0.35">
      <c r="A406" t="s">
        <v>417</v>
      </c>
      <c r="B406" t="s">
        <v>917</v>
      </c>
      <c r="C406" t="s">
        <v>1014</v>
      </c>
      <c r="D406" t="s">
        <v>1020</v>
      </c>
      <c r="E406">
        <v>3279</v>
      </c>
      <c r="F406">
        <v>32283.129559060249</v>
      </c>
      <c r="G406" t="s">
        <v>1024</v>
      </c>
      <c r="H406" s="3">
        <v>45293</v>
      </c>
      <c r="I406" s="3">
        <v>44937</v>
      </c>
      <c r="J406" s="3">
        <v>45305</v>
      </c>
      <c r="K406" t="s">
        <v>1025</v>
      </c>
      <c r="L406">
        <v>27</v>
      </c>
      <c r="M406">
        <v>7119</v>
      </c>
    </row>
    <row r="407" spans="1:13" x14ac:dyDescent="0.35">
      <c r="A407" t="s">
        <v>418</v>
      </c>
      <c r="B407" t="s">
        <v>918</v>
      </c>
      <c r="C407" t="s">
        <v>1014</v>
      </c>
      <c r="D407" t="s">
        <v>1019</v>
      </c>
      <c r="E407">
        <v>65197</v>
      </c>
      <c r="F407">
        <v>57737.137596013752</v>
      </c>
      <c r="G407" t="s">
        <v>1022</v>
      </c>
      <c r="H407" s="3">
        <v>45449</v>
      </c>
      <c r="I407" s="3">
        <v>45238</v>
      </c>
      <c r="J407" s="3">
        <v>45404</v>
      </c>
      <c r="K407" t="s">
        <v>1025</v>
      </c>
      <c r="L407">
        <v>49</v>
      </c>
      <c r="M407">
        <v>7694</v>
      </c>
    </row>
    <row r="408" spans="1:13" x14ac:dyDescent="0.35">
      <c r="A408" t="s">
        <v>419</v>
      </c>
      <c r="B408" t="s">
        <v>919</v>
      </c>
      <c r="C408" t="s">
        <v>1016</v>
      </c>
      <c r="D408" t="s">
        <v>1019</v>
      </c>
      <c r="E408">
        <v>64516</v>
      </c>
      <c r="F408">
        <v>0</v>
      </c>
      <c r="G408" t="s">
        <v>1022</v>
      </c>
      <c r="H408" s="3">
        <v>45470</v>
      </c>
      <c r="I408" s="3">
        <v>45017</v>
      </c>
      <c r="J408" s="3">
        <v>45292</v>
      </c>
      <c r="K408" t="s">
        <v>1025</v>
      </c>
      <c r="L408">
        <v>51</v>
      </c>
      <c r="M408">
        <v>12976</v>
      </c>
    </row>
    <row r="409" spans="1:13" x14ac:dyDescent="0.35">
      <c r="A409" t="s">
        <v>420</v>
      </c>
      <c r="B409" t="s">
        <v>920</v>
      </c>
      <c r="C409" t="s">
        <v>1014</v>
      </c>
      <c r="D409" t="s">
        <v>1021</v>
      </c>
      <c r="E409">
        <v>9083</v>
      </c>
      <c r="F409">
        <v>41042.800789624402</v>
      </c>
      <c r="G409" t="s">
        <v>1023</v>
      </c>
      <c r="H409" s="3">
        <v>45328</v>
      </c>
      <c r="I409" s="3">
        <v>45286</v>
      </c>
      <c r="J409" s="3">
        <v>45596</v>
      </c>
      <c r="K409" t="s">
        <v>1025</v>
      </c>
      <c r="L409">
        <v>55</v>
      </c>
      <c r="M409">
        <v>8136</v>
      </c>
    </row>
    <row r="410" spans="1:13" x14ac:dyDescent="0.35">
      <c r="A410" t="s">
        <v>421</v>
      </c>
      <c r="B410" t="s">
        <v>921</v>
      </c>
      <c r="C410" t="s">
        <v>1014</v>
      </c>
      <c r="D410" t="s">
        <v>1020</v>
      </c>
      <c r="E410">
        <v>19771</v>
      </c>
      <c r="F410">
        <v>69785.334350182122</v>
      </c>
      <c r="G410" t="s">
        <v>1024</v>
      </c>
      <c r="H410" s="3">
        <v>45474</v>
      </c>
      <c r="I410" s="3">
        <v>44946</v>
      </c>
      <c r="J410" s="3">
        <v>45513</v>
      </c>
      <c r="K410" t="s">
        <v>1026</v>
      </c>
      <c r="L410">
        <v>66</v>
      </c>
      <c r="M410">
        <v>7485</v>
      </c>
    </row>
    <row r="411" spans="1:13" x14ac:dyDescent="0.35">
      <c r="A411" t="s">
        <v>422</v>
      </c>
      <c r="B411" t="s">
        <v>922</v>
      </c>
      <c r="C411" t="s">
        <v>1016</v>
      </c>
      <c r="D411" t="s">
        <v>1020</v>
      </c>
      <c r="E411">
        <v>31975</v>
      </c>
      <c r="F411">
        <v>0</v>
      </c>
      <c r="G411" t="s">
        <v>1022</v>
      </c>
      <c r="H411" s="3">
        <v>45503</v>
      </c>
      <c r="I411" s="3">
        <v>44955</v>
      </c>
      <c r="J411" s="3">
        <v>45401</v>
      </c>
      <c r="K411" t="s">
        <v>1026</v>
      </c>
      <c r="L411">
        <v>49</v>
      </c>
      <c r="M411">
        <v>6164</v>
      </c>
    </row>
    <row r="412" spans="1:13" x14ac:dyDescent="0.35">
      <c r="A412" t="s">
        <v>423</v>
      </c>
      <c r="B412" t="s">
        <v>923</v>
      </c>
      <c r="C412" t="s">
        <v>1013</v>
      </c>
      <c r="D412" t="s">
        <v>1020</v>
      </c>
      <c r="E412">
        <v>47648</v>
      </c>
      <c r="F412">
        <v>18347.14927872143</v>
      </c>
      <c r="G412" t="s">
        <v>1023</v>
      </c>
      <c r="H412" s="3">
        <v>45442</v>
      </c>
      <c r="I412" s="3">
        <v>45156</v>
      </c>
      <c r="J412" s="3">
        <v>45527</v>
      </c>
      <c r="K412" t="s">
        <v>1025</v>
      </c>
      <c r="L412">
        <v>20</v>
      </c>
      <c r="M412">
        <v>4346</v>
      </c>
    </row>
    <row r="413" spans="1:13" x14ac:dyDescent="0.35">
      <c r="A413" t="s">
        <v>424</v>
      </c>
      <c r="B413" t="s">
        <v>924</v>
      </c>
      <c r="C413" t="s">
        <v>1014</v>
      </c>
      <c r="D413" t="s">
        <v>1020</v>
      </c>
      <c r="E413">
        <v>50285</v>
      </c>
      <c r="F413">
        <v>0</v>
      </c>
      <c r="G413" t="s">
        <v>1022</v>
      </c>
      <c r="H413" s="3">
        <v>45503</v>
      </c>
      <c r="I413" s="3">
        <v>45273</v>
      </c>
      <c r="J413" s="3">
        <v>45442</v>
      </c>
      <c r="K413" t="s">
        <v>1025</v>
      </c>
      <c r="L413">
        <v>62</v>
      </c>
      <c r="M413">
        <v>7039</v>
      </c>
    </row>
    <row r="414" spans="1:13" x14ac:dyDescent="0.35">
      <c r="A414" t="s">
        <v>425</v>
      </c>
      <c r="B414" t="s">
        <v>925</v>
      </c>
      <c r="C414" t="s">
        <v>1016</v>
      </c>
      <c r="D414" t="s">
        <v>1019</v>
      </c>
      <c r="E414">
        <v>21063</v>
      </c>
      <c r="F414">
        <v>42593.502880276057</v>
      </c>
      <c r="G414" t="s">
        <v>1023</v>
      </c>
      <c r="H414" s="3">
        <v>45506</v>
      </c>
      <c r="I414" s="3">
        <v>45043</v>
      </c>
      <c r="J414" s="3">
        <v>45643</v>
      </c>
      <c r="K414" t="s">
        <v>1026</v>
      </c>
      <c r="L414">
        <v>58</v>
      </c>
      <c r="M414">
        <v>6897</v>
      </c>
    </row>
    <row r="415" spans="1:13" x14ac:dyDescent="0.35">
      <c r="A415" t="s">
        <v>426</v>
      </c>
      <c r="B415" t="s">
        <v>926</v>
      </c>
      <c r="C415" t="s">
        <v>1015</v>
      </c>
      <c r="D415" t="s">
        <v>1019</v>
      </c>
      <c r="E415">
        <v>69642</v>
      </c>
      <c r="F415">
        <v>48581.041110026999</v>
      </c>
      <c r="G415" t="s">
        <v>1022</v>
      </c>
      <c r="H415" s="3">
        <v>45565</v>
      </c>
      <c r="I415" s="3">
        <v>45127</v>
      </c>
      <c r="J415" s="3">
        <v>45472</v>
      </c>
      <c r="K415" t="s">
        <v>1025</v>
      </c>
      <c r="L415">
        <v>36</v>
      </c>
      <c r="M415">
        <v>12442</v>
      </c>
    </row>
    <row r="416" spans="1:13" x14ac:dyDescent="0.35">
      <c r="A416" t="s">
        <v>427</v>
      </c>
      <c r="B416" t="s">
        <v>927</v>
      </c>
      <c r="C416" t="s">
        <v>1013</v>
      </c>
      <c r="D416" t="s">
        <v>1020</v>
      </c>
      <c r="E416">
        <v>92093</v>
      </c>
      <c r="F416">
        <v>39452.575686656033</v>
      </c>
      <c r="G416" t="s">
        <v>1023</v>
      </c>
      <c r="H416" s="3">
        <v>45385</v>
      </c>
      <c r="I416" s="3">
        <v>45187</v>
      </c>
      <c r="J416" s="3">
        <v>45621</v>
      </c>
      <c r="K416" t="s">
        <v>1025</v>
      </c>
      <c r="L416">
        <v>39</v>
      </c>
      <c r="M416">
        <v>10252</v>
      </c>
    </row>
    <row r="417" spans="1:13" x14ac:dyDescent="0.35">
      <c r="A417" t="s">
        <v>428</v>
      </c>
      <c r="B417" t="s">
        <v>928</v>
      </c>
      <c r="C417" t="s">
        <v>1015</v>
      </c>
      <c r="D417" t="s">
        <v>1021</v>
      </c>
      <c r="E417">
        <v>88143</v>
      </c>
      <c r="F417">
        <v>6468.1642946528309</v>
      </c>
      <c r="G417" t="s">
        <v>1022</v>
      </c>
      <c r="H417" s="3">
        <v>45498</v>
      </c>
      <c r="I417" s="3">
        <v>45148</v>
      </c>
      <c r="J417" s="3">
        <v>45517</v>
      </c>
      <c r="K417" t="s">
        <v>1025</v>
      </c>
      <c r="L417">
        <v>43</v>
      </c>
      <c r="M417">
        <v>7041</v>
      </c>
    </row>
    <row r="418" spans="1:13" x14ac:dyDescent="0.35">
      <c r="A418" t="s">
        <v>429</v>
      </c>
      <c r="B418" t="s">
        <v>929</v>
      </c>
      <c r="C418" t="s">
        <v>1015</v>
      </c>
      <c r="D418" t="s">
        <v>1018</v>
      </c>
      <c r="E418">
        <v>39599</v>
      </c>
      <c r="F418">
        <v>32141.088990956829</v>
      </c>
      <c r="G418" t="s">
        <v>1023</v>
      </c>
      <c r="H418" s="3">
        <v>45557</v>
      </c>
      <c r="I418" s="3">
        <v>44977</v>
      </c>
      <c r="J418" s="3">
        <v>45383</v>
      </c>
      <c r="K418" t="s">
        <v>1025</v>
      </c>
      <c r="L418">
        <v>69</v>
      </c>
      <c r="M418">
        <v>13202</v>
      </c>
    </row>
    <row r="419" spans="1:13" x14ac:dyDescent="0.35">
      <c r="A419" t="s">
        <v>430</v>
      </c>
      <c r="B419" t="s">
        <v>930</v>
      </c>
      <c r="C419" t="s">
        <v>1016</v>
      </c>
      <c r="D419" t="s">
        <v>1018</v>
      </c>
      <c r="E419">
        <v>53920</v>
      </c>
      <c r="F419">
        <v>48037.53263846779</v>
      </c>
      <c r="G419" t="s">
        <v>1023</v>
      </c>
      <c r="H419" s="3">
        <v>45521</v>
      </c>
      <c r="I419" s="3">
        <v>45254</v>
      </c>
      <c r="J419" s="3">
        <v>45403</v>
      </c>
      <c r="K419" t="s">
        <v>1025</v>
      </c>
      <c r="L419">
        <v>41</v>
      </c>
      <c r="M419">
        <v>5901</v>
      </c>
    </row>
    <row r="420" spans="1:13" x14ac:dyDescent="0.35">
      <c r="A420" t="s">
        <v>431</v>
      </c>
      <c r="B420" t="s">
        <v>931</v>
      </c>
      <c r="C420" t="s">
        <v>1014</v>
      </c>
      <c r="D420" t="s">
        <v>1021</v>
      </c>
      <c r="E420">
        <v>30529</v>
      </c>
      <c r="F420">
        <v>36357.542079573497</v>
      </c>
      <c r="G420" t="s">
        <v>1023</v>
      </c>
      <c r="H420" s="3">
        <v>45410</v>
      </c>
      <c r="I420" s="3">
        <v>45212</v>
      </c>
      <c r="J420" s="3">
        <v>45506</v>
      </c>
      <c r="K420" t="s">
        <v>1026</v>
      </c>
      <c r="L420">
        <v>48</v>
      </c>
      <c r="M420">
        <v>3337</v>
      </c>
    </row>
    <row r="421" spans="1:13" x14ac:dyDescent="0.35">
      <c r="A421" t="s">
        <v>432</v>
      </c>
      <c r="B421" t="s">
        <v>932</v>
      </c>
      <c r="C421" t="s">
        <v>1016</v>
      </c>
      <c r="D421" t="s">
        <v>1020</v>
      </c>
      <c r="E421">
        <v>37954</v>
      </c>
      <c r="F421">
        <v>15617.44723818837</v>
      </c>
      <c r="G421" t="s">
        <v>1023</v>
      </c>
      <c r="H421" s="3">
        <v>45411</v>
      </c>
      <c r="I421" s="3">
        <v>44968</v>
      </c>
      <c r="J421" s="3">
        <v>45647</v>
      </c>
      <c r="K421" t="s">
        <v>1025</v>
      </c>
      <c r="L421">
        <v>41</v>
      </c>
      <c r="M421">
        <v>3184</v>
      </c>
    </row>
    <row r="422" spans="1:13" x14ac:dyDescent="0.35">
      <c r="A422" t="s">
        <v>433</v>
      </c>
      <c r="B422" t="s">
        <v>933</v>
      </c>
      <c r="C422" t="s">
        <v>1016</v>
      </c>
      <c r="D422" t="s">
        <v>1019</v>
      </c>
      <c r="E422">
        <v>29856</v>
      </c>
      <c r="F422">
        <v>0</v>
      </c>
      <c r="G422" t="s">
        <v>1023</v>
      </c>
      <c r="H422" s="3">
        <v>45485</v>
      </c>
      <c r="I422" s="3">
        <v>44994</v>
      </c>
      <c r="J422" s="3">
        <v>45389</v>
      </c>
      <c r="K422" t="s">
        <v>1025</v>
      </c>
      <c r="L422">
        <v>63</v>
      </c>
      <c r="M422">
        <v>6426</v>
      </c>
    </row>
    <row r="423" spans="1:13" x14ac:dyDescent="0.35">
      <c r="A423" t="s">
        <v>434</v>
      </c>
      <c r="B423" t="s">
        <v>934</v>
      </c>
      <c r="C423" t="s">
        <v>1016</v>
      </c>
      <c r="D423" t="s">
        <v>1018</v>
      </c>
      <c r="E423">
        <v>4573</v>
      </c>
      <c r="F423">
        <v>42676.841186410224</v>
      </c>
      <c r="G423" t="s">
        <v>1023</v>
      </c>
      <c r="H423" s="3">
        <v>45551</v>
      </c>
      <c r="I423" s="3">
        <v>45286</v>
      </c>
      <c r="J423" s="3">
        <v>45487</v>
      </c>
      <c r="K423" t="s">
        <v>1025</v>
      </c>
      <c r="L423">
        <v>28</v>
      </c>
      <c r="M423">
        <v>3551</v>
      </c>
    </row>
    <row r="424" spans="1:13" x14ac:dyDescent="0.35">
      <c r="A424" t="s">
        <v>435</v>
      </c>
      <c r="B424" t="s">
        <v>935</v>
      </c>
      <c r="C424" t="s">
        <v>1016</v>
      </c>
      <c r="D424" t="s">
        <v>1017</v>
      </c>
      <c r="E424">
        <v>80344</v>
      </c>
      <c r="F424">
        <v>41833.984708961827</v>
      </c>
      <c r="G424" t="s">
        <v>1023</v>
      </c>
      <c r="H424" s="3">
        <v>45301</v>
      </c>
      <c r="I424" s="3">
        <v>45092</v>
      </c>
      <c r="J424" s="3">
        <v>45477</v>
      </c>
      <c r="K424" t="s">
        <v>1026</v>
      </c>
      <c r="L424">
        <v>56</v>
      </c>
      <c r="M424">
        <v>14625</v>
      </c>
    </row>
    <row r="425" spans="1:13" x14ac:dyDescent="0.35">
      <c r="A425" t="s">
        <v>436</v>
      </c>
      <c r="B425" t="s">
        <v>936</v>
      </c>
      <c r="C425" t="s">
        <v>1013</v>
      </c>
      <c r="D425" t="s">
        <v>1017</v>
      </c>
      <c r="E425">
        <v>37367</v>
      </c>
      <c r="F425">
        <v>13355.30855922294</v>
      </c>
      <c r="G425" t="s">
        <v>1023</v>
      </c>
      <c r="H425" s="3">
        <v>45405</v>
      </c>
      <c r="I425" s="3">
        <v>44991</v>
      </c>
      <c r="J425" s="3">
        <v>45482</v>
      </c>
      <c r="K425" t="s">
        <v>1026</v>
      </c>
      <c r="L425">
        <v>29</v>
      </c>
      <c r="M425">
        <v>3629</v>
      </c>
    </row>
    <row r="426" spans="1:13" x14ac:dyDescent="0.35">
      <c r="A426" t="s">
        <v>437</v>
      </c>
      <c r="B426" t="s">
        <v>937</v>
      </c>
      <c r="C426" t="s">
        <v>1014</v>
      </c>
      <c r="D426" t="s">
        <v>1021</v>
      </c>
      <c r="E426">
        <v>62774</v>
      </c>
      <c r="F426">
        <v>16001.750660214369</v>
      </c>
      <c r="G426" t="s">
        <v>1023</v>
      </c>
      <c r="H426" s="3">
        <v>45314</v>
      </c>
      <c r="I426" s="3">
        <v>44999</v>
      </c>
      <c r="J426" s="3">
        <v>45370</v>
      </c>
      <c r="K426" t="s">
        <v>1026</v>
      </c>
      <c r="L426">
        <v>55</v>
      </c>
      <c r="M426">
        <v>11519</v>
      </c>
    </row>
    <row r="427" spans="1:13" x14ac:dyDescent="0.35">
      <c r="A427" t="s">
        <v>438</v>
      </c>
      <c r="B427" t="s">
        <v>938</v>
      </c>
      <c r="C427" t="s">
        <v>1015</v>
      </c>
      <c r="D427" t="s">
        <v>1020</v>
      </c>
      <c r="E427">
        <v>25752</v>
      </c>
      <c r="F427">
        <v>73972.780063486585</v>
      </c>
      <c r="G427" t="s">
        <v>1022</v>
      </c>
      <c r="H427" s="3">
        <v>45563</v>
      </c>
      <c r="I427" s="3">
        <v>45143</v>
      </c>
      <c r="J427" s="3">
        <v>45560</v>
      </c>
      <c r="K427" t="s">
        <v>1026</v>
      </c>
      <c r="L427">
        <v>56</v>
      </c>
      <c r="M427">
        <v>3526</v>
      </c>
    </row>
    <row r="428" spans="1:13" x14ac:dyDescent="0.35">
      <c r="A428" t="s">
        <v>439</v>
      </c>
      <c r="B428" t="s">
        <v>939</v>
      </c>
      <c r="C428" t="s">
        <v>1015</v>
      </c>
      <c r="D428" t="s">
        <v>1018</v>
      </c>
      <c r="E428">
        <v>57029</v>
      </c>
      <c r="F428">
        <v>36051.327333990761</v>
      </c>
      <c r="G428" t="s">
        <v>1023</v>
      </c>
      <c r="H428" s="3">
        <v>45349</v>
      </c>
      <c r="I428" s="3">
        <v>45135</v>
      </c>
      <c r="J428" s="3">
        <v>45405</v>
      </c>
      <c r="K428" t="s">
        <v>1025</v>
      </c>
      <c r="L428">
        <v>47</v>
      </c>
      <c r="M428">
        <v>11865</v>
      </c>
    </row>
    <row r="429" spans="1:13" x14ac:dyDescent="0.35">
      <c r="A429" t="s">
        <v>440</v>
      </c>
      <c r="B429" t="s">
        <v>940</v>
      </c>
      <c r="C429" t="s">
        <v>1014</v>
      </c>
      <c r="D429" t="s">
        <v>1020</v>
      </c>
      <c r="E429">
        <v>19685</v>
      </c>
      <c r="F429">
        <v>27722.018850978598</v>
      </c>
      <c r="G429" t="s">
        <v>1024</v>
      </c>
      <c r="H429" s="3">
        <v>45301</v>
      </c>
      <c r="I429" s="3">
        <v>45009</v>
      </c>
      <c r="J429" s="3">
        <v>45501</v>
      </c>
      <c r="K429" t="s">
        <v>1026</v>
      </c>
      <c r="L429">
        <v>47</v>
      </c>
      <c r="M429">
        <v>3361</v>
      </c>
    </row>
    <row r="430" spans="1:13" x14ac:dyDescent="0.35">
      <c r="A430" t="s">
        <v>441</v>
      </c>
      <c r="B430" t="s">
        <v>941</v>
      </c>
      <c r="C430" t="s">
        <v>1015</v>
      </c>
      <c r="D430" t="s">
        <v>1018</v>
      </c>
      <c r="E430">
        <v>53693</v>
      </c>
      <c r="F430">
        <v>9529.8478888269328</v>
      </c>
      <c r="G430" t="s">
        <v>1022</v>
      </c>
      <c r="H430" s="3">
        <v>45366</v>
      </c>
      <c r="I430" s="3">
        <v>44934</v>
      </c>
      <c r="J430" s="3">
        <v>45563</v>
      </c>
      <c r="K430" t="s">
        <v>1025</v>
      </c>
      <c r="L430">
        <v>61</v>
      </c>
      <c r="M430">
        <v>11765</v>
      </c>
    </row>
    <row r="431" spans="1:13" x14ac:dyDescent="0.35">
      <c r="A431" t="s">
        <v>442</v>
      </c>
      <c r="B431" t="s">
        <v>942</v>
      </c>
      <c r="C431" t="s">
        <v>1014</v>
      </c>
      <c r="D431" t="s">
        <v>1021</v>
      </c>
      <c r="E431">
        <v>57961</v>
      </c>
      <c r="F431">
        <v>42613.405989641251</v>
      </c>
      <c r="G431" t="s">
        <v>1023</v>
      </c>
      <c r="H431" s="3">
        <v>45463</v>
      </c>
      <c r="I431" s="3">
        <v>45187</v>
      </c>
      <c r="J431" s="3">
        <v>45335</v>
      </c>
      <c r="K431" t="s">
        <v>1025</v>
      </c>
      <c r="L431">
        <v>62</v>
      </c>
      <c r="M431">
        <v>12878</v>
      </c>
    </row>
    <row r="432" spans="1:13" x14ac:dyDescent="0.35">
      <c r="A432" t="s">
        <v>443</v>
      </c>
      <c r="B432" t="s">
        <v>943</v>
      </c>
      <c r="C432" t="s">
        <v>1015</v>
      </c>
      <c r="D432" t="s">
        <v>1021</v>
      </c>
      <c r="E432">
        <v>78908</v>
      </c>
      <c r="F432">
        <v>70588.131868439887</v>
      </c>
      <c r="G432" t="s">
        <v>1023</v>
      </c>
      <c r="H432" s="3">
        <v>45326</v>
      </c>
      <c r="I432" s="3">
        <v>45157</v>
      </c>
      <c r="J432" s="3">
        <v>45413</v>
      </c>
      <c r="K432" t="s">
        <v>1026</v>
      </c>
      <c r="L432">
        <v>40</v>
      </c>
      <c r="M432">
        <v>6370</v>
      </c>
    </row>
    <row r="433" spans="1:13" x14ac:dyDescent="0.35">
      <c r="A433" t="s">
        <v>444</v>
      </c>
      <c r="B433" t="s">
        <v>944</v>
      </c>
      <c r="C433" t="s">
        <v>1016</v>
      </c>
      <c r="D433" t="s">
        <v>1017</v>
      </c>
      <c r="E433">
        <v>76532</v>
      </c>
      <c r="F433">
        <v>5222.4182537962206</v>
      </c>
      <c r="G433" t="s">
        <v>1022</v>
      </c>
      <c r="H433" s="3">
        <v>45592</v>
      </c>
      <c r="I433" s="3">
        <v>45258</v>
      </c>
      <c r="J433" s="3">
        <v>45326</v>
      </c>
      <c r="K433" t="s">
        <v>1026</v>
      </c>
      <c r="L433">
        <v>43</v>
      </c>
      <c r="M433">
        <v>7283</v>
      </c>
    </row>
    <row r="434" spans="1:13" x14ac:dyDescent="0.35">
      <c r="A434" t="s">
        <v>445</v>
      </c>
      <c r="B434" t="s">
        <v>945</v>
      </c>
      <c r="C434" t="s">
        <v>1015</v>
      </c>
      <c r="D434" t="s">
        <v>1020</v>
      </c>
      <c r="E434">
        <v>83994</v>
      </c>
      <c r="F434">
        <v>50616.576731449008</v>
      </c>
      <c r="G434" t="s">
        <v>1023</v>
      </c>
      <c r="H434" s="3">
        <v>45576</v>
      </c>
      <c r="I434" s="3">
        <v>44962</v>
      </c>
      <c r="J434" s="3">
        <v>45477</v>
      </c>
      <c r="K434" t="s">
        <v>1026</v>
      </c>
      <c r="L434">
        <v>61</v>
      </c>
      <c r="M434">
        <v>9610</v>
      </c>
    </row>
    <row r="435" spans="1:13" x14ac:dyDescent="0.35">
      <c r="A435" t="s">
        <v>446</v>
      </c>
      <c r="B435" t="s">
        <v>946</v>
      </c>
      <c r="C435" t="s">
        <v>1014</v>
      </c>
      <c r="D435" t="s">
        <v>1017</v>
      </c>
      <c r="E435">
        <v>58133</v>
      </c>
      <c r="F435">
        <v>38883.71403919661</v>
      </c>
      <c r="G435" t="s">
        <v>1023</v>
      </c>
      <c r="H435" s="3">
        <v>45469</v>
      </c>
      <c r="I435" s="3">
        <v>45006</v>
      </c>
      <c r="J435" s="3">
        <v>45417</v>
      </c>
      <c r="K435" t="s">
        <v>1026</v>
      </c>
      <c r="L435">
        <v>59</v>
      </c>
      <c r="M435">
        <v>12558</v>
      </c>
    </row>
    <row r="436" spans="1:13" x14ac:dyDescent="0.35">
      <c r="A436" t="s">
        <v>447</v>
      </c>
      <c r="B436" t="s">
        <v>947</v>
      </c>
      <c r="C436" t="s">
        <v>1014</v>
      </c>
      <c r="D436" t="s">
        <v>1020</v>
      </c>
      <c r="E436">
        <v>99425</v>
      </c>
      <c r="F436">
        <v>48986.385778919459</v>
      </c>
      <c r="G436" t="s">
        <v>1023</v>
      </c>
      <c r="H436" s="3">
        <v>45544</v>
      </c>
      <c r="I436" s="3">
        <v>44983</v>
      </c>
      <c r="J436" s="3">
        <v>45466</v>
      </c>
      <c r="K436" t="s">
        <v>1026</v>
      </c>
      <c r="L436">
        <v>21</v>
      </c>
      <c r="M436">
        <v>13949</v>
      </c>
    </row>
    <row r="437" spans="1:13" x14ac:dyDescent="0.35">
      <c r="A437" t="s">
        <v>448</v>
      </c>
      <c r="B437" t="s">
        <v>948</v>
      </c>
      <c r="C437" t="s">
        <v>1014</v>
      </c>
      <c r="D437" t="s">
        <v>1017</v>
      </c>
      <c r="E437">
        <v>63268</v>
      </c>
      <c r="F437">
        <v>16322.103170163449</v>
      </c>
      <c r="G437" t="s">
        <v>1022</v>
      </c>
      <c r="H437" s="3">
        <v>45559</v>
      </c>
      <c r="I437" s="3">
        <v>45009</v>
      </c>
      <c r="J437" s="3">
        <v>45580</v>
      </c>
      <c r="K437" t="s">
        <v>1025</v>
      </c>
      <c r="L437">
        <v>27</v>
      </c>
      <c r="M437">
        <v>12626</v>
      </c>
    </row>
    <row r="438" spans="1:13" x14ac:dyDescent="0.35">
      <c r="A438" t="s">
        <v>449</v>
      </c>
      <c r="B438" t="s">
        <v>949</v>
      </c>
      <c r="C438" t="s">
        <v>1014</v>
      </c>
      <c r="D438" t="s">
        <v>1019</v>
      </c>
      <c r="E438">
        <v>94201</v>
      </c>
      <c r="F438">
        <v>72164.860757419025</v>
      </c>
      <c r="G438" t="s">
        <v>1023</v>
      </c>
      <c r="H438" s="3">
        <v>45325</v>
      </c>
      <c r="I438" s="3">
        <v>44958</v>
      </c>
      <c r="J438" s="3">
        <v>45408</v>
      </c>
      <c r="K438" t="s">
        <v>1026</v>
      </c>
      <c r="L438">
        <v>67</v>
      </c>
      <c r="M438">
        <v>3993</v>
      </c>
    </row>
    <row r="439" spans="1:13" x14ac:dyDescent="0.35">
      <c r="A439" t="s">
        <v>450</v>
      </c>
      <c r="B439" t="s">
        <v>950</v>
      </c>
      <c r="C439" t="s">
        <v>1014</v>
      </c>
      <c r="D439" t="s">
        <v>1019</v>
      </c>
      <c r="E439">
        <v>40243</v>
      </c>
      <c r="F439">
        <v>36582.935568759684</v>
      </c>
      <c r="G439" t="s">
        <v>1023</v>
      </c>
      <c r="H439" s="3">
        <v>45345</v>
      </c>
      <c r="I439" s="3">
        <v>44953</v>
      </c>
      <c r="J439" s="3">
        <v>45411</v>
      </c>
      <c r="K439" t="s">
        <v>1026</v>
      </c>
      <c r="L439">
        <v>46</v>
      </c>
      <c r="M439">
        <v>2869</v>
      </c>
    </row>
    <row r="440" spans="1:13" x14ac:dyDescent="0.35">
      <c r="A440" t="s">
        <v>451</v>
      </c>
      <c r="B440" t="s">
        <v>951</v>
      </c>
      <c r="C440" t="s">
        <v>1013</v>
      </c>
      <c r="D440" t="s">
        <v>1019</v>
      </c>
      <c r="E440">
        <v>59384</v>
      </c>
      <c r="F440">
        <v>0</v>
      </c>
      <c r="G440" t="s">
        <v>1024</v>
      </c>
      <c r="H440" s="3">
        <v>45337</v>
      </c>
      <c r="I440" s="3">
        <v>44967</v>
      </c>
      <c r="J440" s="3">
        <v>45313</v>
      </c>
      <c r="K440" t="s">
        <v>1026</v>
      </c>
      <c r="L440">
        <v>41</v>
      </c>
      <c r="M440">
        <v>3014</v>
      </c>
    </row>
    <row r="441" spans="1:13" x14ac:dyDescent="0.35">
      <c r="A441" t="s">
        <v>452</v>
      </c>
      <c r="B441" t="s">
        <v>952</v>
      </c>
      <c r="C441" t="s">
        <v>1013</v>
      </c>
      <c r="D441" t="s">
        <v>1019</v>
      </c>
      <c r="E441">
        <v>33653</v>
      </c>
      <c r="F441">
        <v>25495.234969738431</v>
      </c>
      <c r="G441" t="s">
        <v>1022</v>
      </c>
      <c r="H441" s="3">
        <v>45365</v>
      </c>
      <c r="I441" s="3">
        <v>45280</v>
      </c>
      <c r="J441" s="3">
        <v>45378</v>
      </c>
      <c r="K441" t="s">
        <v>1025</v>
      </c>
      <c r="L441">
        <v>56</v>
      </c>
      <c r="M441">
        <v>12103</v>
      </c>
    </row>
    <row r="442" spans="1:13" x14ac:dyDescent="0.35">
      <c r="A442" t="s">
        <v>453</v>
      </c>
      <c r="B442" t="s">
        <v>953</v>
      </c>
      <c r="C442" t="s">
        <v>1015</v>
      </c>
      <c r="D442" t="s">
        <v>1018</v>
      </c>
      <c r="E442">
        <v>28657</v>
      </c>
      <c r="F442">
        <v>29503.48188722922</v>
      </c>
      <c r="G442" t="s">
        <v>1023</v>
      </c>
      <c r="H442" s="3">
        <v>45567</v>
      </c>
      <c r="I442" s="3">
        <v>44943</v>
      </c>
      <c r="J442" s="3">
        <v>45340</v>
      </c>
      <c r="K442" t="s">
        <v>1026</v>
      </c>
      <c r="L442">
        <v>46</v>
      </c>
      <c r="M442">
        <v>2602</v>
      </c>
    </row>
    <row r="443" spans="1:13" x14ac:dyDescent="0.35">
      <c r="A443" t="s">
        <v>454</v>
      </c>
      <c r="B443" t="s">
        <v>954</v>
      </c>
      <c r="C443" t="s">
        <v>1014</v>
      </c>
      <c r="D443" t="s">
        <v>1019</v>
      </c>
      <c r="E443">
        <v>41952</v>
      </c>
      <c r="F443">
        <v>0</v>
      </c>
      <c r="G443" t="s">
        <v>1023</v>
      </c>
      <c r="H443" s="3">
        <v>45434</v>
      </c>
      <c r="I443" s="3">
        <v>45163</v>
      </c>
      <c r="J443" s="3">
        <v>45570</v>
      </c>
      <c r="K443" t="s">
        <v>1025</v>
      </c>
      <c r="L443">
        <v>48</v>
      </c>
      <c r="M443">
        <v>14013</v>
      </c>
    </row>
    <row r="444" spans="1:13" x14ac:dyDescent="0.35">
      <c r="A444" t="s">
        <v>455</v>
      </c>
      <c r="B444" t="s">
        <v>955</v>
      </c>
      <c r="C444" t="s">
        <v>1015</v>
      </c>
      <c r="D444" t="s">
        <v>1021</v>
      </c>
      <c r="E444">
        <v>24180</v>
      </c>
      <c r="F444">
        <v>53175.85680952797</v>
      </c>
      <c r="G444" t="s">
        <v>1022</v>
      </c>
      <c r="H444" s="3">
        <v>45468</v>
      </c>
      <c r="I444" s="3">
        <v>45054</v>
      </c>
      <c r="J444" s="3">
        <v>45366</v>
      </c>
      <c r="K444" t="s">
        <v>1026</v>
      </c>
      <c r="L444">
        <v>22</v>
      </c>
      <c r="M444">
        <v>2690</v>
      </c>
    </row>
    <row r="445" spans="1:13" x14ac:dyDescent="0.35">
      <c r="A445" t="s">
        <v>456</v>
      </c>
      <c r="B445" t="s">
        <v>956</v>
      </c>
      <c r="C445" t="s">
        <v>1014</v>
      </c>
      <c r="D445" t="s">
        <v>1021</v>
      </c>
      <c r="E445">
        <v>99432</v>
      </c>
      <c r="F445">
        <v>17634.1892065381</v>
      </c>
      <c r="G445" t="s">
        <v>1023</v>
      </c>
      <c r="H445" s="3">
        <v>45409</v>
      </c>
      <c r="I445" s="3">
        <v>45190</v>
      </c>
      <c r="J445" s="3">
        <v>45569</v>
      </c>
      <c r="K445" t="s">
        <v>1026</v>
      </c>
      <c r="L445">
        <v>63</v>
      </c>
      <c r="M445">
        <v>10685</v>
      </c>
    </row>
    <row r="446" spans="1:13" x14ac:dyDescent="0.35">
      <c r="A446" t="s">
        <v>457</v>
      </c>
      <c r="B446" t="s">
        <v>957</v>
      </c>
      <c r="C446" t="s">
        <v>1014</v>
      </c>
      <c r="D446" t="s">
        <v>1018</v>
      </c>
      <c r="E446">
        <v>80411</v>
      </c>
      <c r="F446">
        <v>7924.5859469711359</v>
      </c>
      <c r="G446" t="s">
        <v>1023</v>
      </c>
      <c r="H446" s="3">
        <v>45403</v>
      </c>
      <c r="I446" s="3">
        <v>44976</v>
      </c>
      <c r="J446" s="3">
        <v>45554</v>
      </c>
      <c r="K446" t="s">
        <v>1025</v>
      </c>
      <c r="L446">
        <v>32</v>
      </c>
      <c r="M446">
        <v>2489</v>
      </c>
    </row>
    <row r="447" spans="1:13" x14ac:dyDescent="0.35">
      <c r="A447" t="s">
        <v>458</v>
      </c>
      <c r="B447" t="s">
        <v>958</v>
      </c>
      <c r="C447" t="s">
        <v>1013</v>
      </c>
      <c r="D447" t="s">
        <v>1019</v>
      </c>
      <c r="E447">
        <v>3622</v>
      </c>
      <c r="F447">
        <v>15780.87200262978</v>
      </c>
      <c r="G447" t="s">
        <v>1023</v>
      </c>
      <c r="H447" s="3">
        <v>45324</v>
      </c>
      <c r="I447" s="3">
        <v>45240</v>
      </c>
      <c r="J447" s="3">
        <v>45540</v>
      </c>
      <c r="K447" t="s">
        <v>1026</v>
      </c>
      <c r="L447">
        <v>64</v>
      </c>
      <c r="M447">
        <v>8864</v>
      </c>
    </row>
    <row r="448" spans="1:13" x14ac:dyDescent="0.35">
      <c r="A448" t="s">
        <v>459</v>
      </c>
      <c r="B448" t="s">
        <v>959</v>
      </c>
      <c r="C448" t="s">
        <v>1013</v>
      </c>
      <c r="D448" t="s">
        <v>1019</v>
      </c>
      <c r="E448">
        <v>50756</v>
      </c>
      <c r="F448">
        <v>41612.553673215778</v>
      </c>
      <c r="G448" t="s">
        <v>1024</v>
      </c>
      <c r="H448" s="3">
        <v>45414</v>
      </c>
      <c r="I448" s="3">
        <v>45082</v>
      </c>
      <c r="J448" s="3">
        <v>45449</v>
      </c>
      <c r="K448" t="s">
        <v>1025</v>
      </c>
      <c r="L448">
        <v>29</v>
      </c>
      <c r="M448">
        <v>9240</v>
      </c>
    </row>
    <row r="449" spans="1:13" x14ac:dyDescent="0.35">
      <c r="A449" t="s">
        <v>460</v>
      </c>
      <c r="B449" t="s">
        <v>960</v>
      </c>
      <c r="C449" t="s">
        <v>1016</v>
      </c>
      <c r="D449" t="s">
        <v>1019</v>
      </c>
      <c r="E449">
        <v>42809</v>
      </c>
      <c r="F449">
        <v>0</v>
      </c>
      <c r="G449" t="s">
        <v>1023</v>
      </c>
      <c r="H449" s="3">
        <v>45484</v>
      </c>
      <c r="I449" s="3">
        <v>45154</v>
      </c>
      <c r="J449" s="3">
        <v>45492</v>
      </c>
      <c r="K449" t="s">
        <v>1025</v>
      </c>
      <c r="L449">
        <v>55</v>
      </c>
      <c r="M449">
        <v>12748</v>
      </c>
    </row>
    <row r="450" spans="1:13" x14ac:dyDescent="0.35">
      <c r="A450" t="s">
        <v>461</v>
      </c>
      <c r="B450" t="s">
        <v>961</v>
      </c>
      <c r="C450" t="s">
        <v>1013</v>
      </c>
      <c r="D450" t="s">
        <v>1017</v>
      </c>
      <c r="E450">
        <v>18725</v>
      </c>
      <c r="F450">
        <v>51256.358972248992</v>
      </c>
      <c r="G450" t="s">
        <v>1022</v>
      </c>
      <c r="H450" s="3">
        <v>45534</v>
      </c>
      <c r="I450" s="3">
        <v>44998</v>
      </c>
      <c r="J450" s="3">
        <v>45363</v>
      </c>
      <c r="K450" t="s">
        <v>1025</v>
      </c>
      <c r="L450">
        <v>28</v>
      </c>
      <c r="M450">
        <v>14677</v>
      </c>
    </row>
    <row r="451" spans="1:13" x14ac:dyDescent="0.35">
      <c r="A451" t="s">
        <v>462</v>
      </c>
      <c r="B451" t="s">
        <v>962</v>
      </c>
      <c r="C451" t="s">
        <v>1016</v>
      </c>
      <c r="D451" t="s">
        <v>1020</v>
      </c>
      <c r="E451">
        <v>63396</v>
      </c>
      <c r="F451">
        <v>18743.628996796549</v>
      </c>
      <c r="G451" t="s">
        <v>1022</v>
      </c>
      <c r="H451" s="3">
        <v>45508</v>
      </c>
      <c r="I451" s="3">
        <v>45259</v>
      </c>
      <c r="J451" s="3">
        <v>45445</v>
      </c>
      <c r="K451" t="s">
        <v>1026</v>
      </c>
      <c r="L451">
        <v>46</v>
      </c>
      <c r="M451">
        <v>9786</v>
      </c>
    </row>
    <row r="452" spans="1:13" x14ac:dyDescent="0.35">
      <c r="A452" t="s">
        <v>463</v>
      </c>
      <c r="B452" t="s">
        <v>963</v>
      </c>
      <c r="C452" t="s">
        <v>1016</v>
      </c>
      <c r="D452" t="s">
        <v>1017</v>
      </c>
      <c r="E452">
        <v>53226</v>
      </c>
      <c r="F452">
        <v>29796.465441217209</v>
      </c>
      <c r="G452" t="s">
        <v>1023</v>
      </c>
      <c r="H452" s="3">
        <v>45358</v>
      </c>
      <c r="I452" s="3">
        <v>45193</v>
      </c>
      <c r="J452" s="3">
        <v>45624</v>
      </c>
      <c r="K452" t="s">
        <v>1026</v>
      </c>
      <c r="L452">
        <v>53</v>
      </c>
      <c r="M452">
        <v>10024</v>
      </c>
    </row>
    <row r="453" spans="1:13" x14ac:dyDescent="0.35">
      <c r="A453" t="s">
        <v>464</v>
      </c>
      <c r="B453" t="s">
        <v>964</v>
      </c>
      <c r="C453" t="s">
        <v>1016</v>
      </c>
      <c r="D453" t="s">
        <v>1020</v>
      </c>
      <c r="E453">
        <v>83182</v>
      </c>
      <c r="F453">
        <v>18737.677034802851</v>
      </c>
      <c r="G453" t="s">
        <v>1023</v>
      </c>
      <c r="H453" s="3">
        <v>45355</v>
      </c>
      <c r="I453" s="3">
        <v>44996</v>
      </c>
      <c r="J453" s="3">
        <v>45354</v>
      </c>
      <c r="K453" t="s">
        <v>1026</v>
      </c>
      <c r="L453">
        <v>20</v>
      </c>
      <c r="M453">
        <v>2294</v>
      </c>
    </row>
    <row r="454" spans="1:13" x14ac:dyDescent="0.35">
      <c r="A454" t="s">
        <v>465</v>
      </c>
      <c r="B454" t="s">
        <v>965</v>
      </c>
      <c r="C454" t="s">
        <v>1016</v>
      </c>
      <c r="D454" t="s">
        <v>1019</v>
      </c>
      <c r="E454">
        <v>84565</v>
      </c>
      <c r="F454">
        <v>51858.422534124838</v>
      </c>
      <c r="G454" t="s">
        <v>1023</v>
      </c>
      <c r="H454" s="3">
        <v>45440</v>
      </c>
      <c r="I454" s="3">
        <v>44953</v>
      </c>
      <c r="J454" s="3">
        <v>45584</v>
      </c>
      <c r="K454" t="s">
        <v>1025</v>
      </c>
      <c r="L454">
        <v>51</v>
      </c>
      <c r="M454">
        <v>7488</v>
      </c>
    </row>
    <row r="455" spans="1:13" x14ac:dyDescent="0.35">
      <c r="A455" t="s">
        <v>466</v>
      </c>
      <c r="B455" t="s">
        <v>966</v>
      </c>
      <c r="C455" t="s">
        <v>1016</v>
      </c>
      <c r="D455" t="s">
        <v>1019</v>
      </c>
      <c r="E455">
        <v>31402</v>
      </c>
      <c r="F455">
        <v>28008.52159849957</v>
      </c>
      <c r="G455" t="s">
        <v>1023</v>
      </c>
      <c r="H455" s="3">
        <v>45412</v>
      </c>
      <c r="I455" s="3">
        <v>45006</v>
      </c>
      <c r="J455" s="3">
        <v>45304</v>
      </c>
      <c r="K455" t="s">
        <v>1026</v>
      </c>
      <c r="L455">
        <v>44</v>
      </c>
      <c r="M455">
        <v>6027</v>
      </c>
    </row>
    <row r="456" spans="1:13" x14ac:dyDescent="0.35">
      <c r="A456" t="s">
        <v>467</v>
      </c>
      <c r="B456" t="s">
        <v>967</v>
      </c>
      <c r="C456" t="s">
        <v>1015</v>
      </c>
      <c r="D456" t="s">
        <v>1017</v>
      </c>
      <c r="E456">
        <v>6263</v>
      </c>
      <c r="F456">
        <v>51809.427538758602</v>
      </c>
      <c r="G456" t="s">
        <v>1023</v>
      </c>
      <c r="H456" s="3">
        <v>45439</v>
      </c>
      <c r="I456" s="3">
        <v>45139</v>
      </c>
      <c r="J456" s="3">
        <v>45467</v>
      </c>
      <c r="K456" t="s">
        <v>1025</v>
      </c>
      <c r="L456">
        <v>48</v>
      </c>
      <c r="M456">
        <v>13035</v>
      </c>
    </row>
    <row r="457" spans="1:13" x14ac:dyDescent="0.35">
      <c r="A457" t="s">
        <v>468</v>
      </c>
      <c r="B457" t="s">
        <v>968</v>
      </c>
      <c r="C457" t="s">
        <v>1013</v>
      </c>
      <c r="D457" t="s">
        <v>1017</v>
      </c>
      <c r="E457">
        <v>98523</v>
      </c>
      <c r="F457">
        <v>41645.397455391823</v>
      </c>
      <c r="G457" t="s">
        <v>1022</v>
      </c>
      <c r="H457" s="3">
        <v>45540</v>
      </c>
      <c r="I457" s="3">
        <v>45058</v>
      </c>
      <c r="J457" s="3">
        <v>45453</v>
      </c>
      <c r="K457" t="s">
        <v>1026</v>
      </c>
      <c r="L457">
        <v>26</v>
      </c>
      <c r="M457">
        <v>4912</v>
      </c>
    </row>
    <row r="458" spans="1:13" x14ac:dyDescent="0.35">
      <c r="A458" t="s">
        <v>469</v>
      </c>
      <c r="B458" t="s">
        <v>969</v>
      </c>
      <c r="C458" t="s">
        <v>1016</v>
      </c>
      <c r="D458" t="s">
        <v>1020</v>
      </c>
      <c r="E458">
        <v>48828</v>
      </c>
      <c r="F458">
        <v>65187.7196606898</v>
      </c>
      <c r="G458" t="s">
        <v>1023</v>
      </c>
      <c r="H458" s="3">
        <v>45391</v>
      </c>
      <c r="I458" s="3">
        <v>45044</v>
      </c>
      <c r="J458" s="3">
        <v>45376</v>
      </c>
      <c r="K458" t="s">
        <v>1025</v>
      </c>
      <c r="L458">
        <v>68</v>
      </c>
      <c r="M458">
        <v>11909</v>
      </c>
    </row>
    <row r="459" spans="1:13" x14ac:dyDescent="0.35">
      <c r="A459" t="s">
        <v>470</v>
      </c>
      <c r="B459" t="s">
        <v>970</v>
      </c>
      <c r="C459" t="s">
        <v>1014</v>
      </c>
      <c r="D459" t="s">
        <v>1021</v>
      </c>
      <c r="E459">
        <v>49924</v>
      </c>
      <c r="F459">
        <v>0</v>
      </c>
      <c r="G459" t="s">
        <v>1022</v>
      </c>
      <c r="H459" s="3">
        <v>45340</v>
      </c>
      <c r="I459" s="3">
        <v>45090</v>
      </c>
      <c r="J459" s="3">
        <v>45454</v>
      </c>
      <c r="K459" t="s">
        <v>1025</v>
      </c>
      <c r="L459">
        <v>22</v>
      </c>
      <c r="M459">
        <v>12788</v>
      </c>
    </row>
    <row r="460" spans="1:13" x14ac:dyDescent="0.35">
      <c r="A460" t="s">
        <v>471</v>
      </c>
      <c r="B460" t="s">
        <v>971</v>
      </c>
      <c r="C460" t="s">
        <v>1013</v>
      </c>
      <c r="D460" t="s">
        <v>1020</v>
      </c>
      <c r="E460">
        <v>76182</v>
      </c>
      <c r="F460">
        <v>24100.17164882716</v>
      </c>
      <c r="G460" t="s">
        <v>1023</v>
      </c>
      <c r="H460" s="3">
        <v>45532</v>
      </c>
      <c r="I460" s="3">
        <v>45205</v>
      </c>
      <c r="J460" s="3">
        <v>45394</v>
      </c>
      <c r="K460" t="s">
        <v>1025</v>
      </c>
      <c r="L460">
        <v>39</v>
      </c>
      <c r="M460">
        <v>6744</v>
      </c>
    </row>
    <row r="461" spans="1:13" x14ac:dyDescent="0.35">
      <c r="A461" t="s">
        <v>472</v>
      </c>
      <c r="B461" t="s">
        <v>972</v>
      </c>
      <c r="C461" t="s">
        <v>1013</v>
      </c>
      <c r="D461" t="s">
        <v>1017</v>
      </c>
      <c r="E461">
        <v>95065</v>
      </c>
      <c r="F461">
        <v>45113.827482728288</v>
      </c>
      <c r="G461" t="s">
        <v>1023</v>
      </c>
      <c r="H461" s="3">
        <v>45499</v>
      </c>
      <c r="I461" s="3">
        <v>45039</v>
      </c>
      <c r="J461" s="3">
        <v>45442</v>
      </c>
      <c r="K461" t="s">
        <v>1026</v>
      </c>
      <c r="L461">
        <v>39</v>
      </c>
      <c r="M461">
        <v>3873</v>
      </c>
    </row>
    <row r="462" spans="1:13" x14ac:dyDescent="0.35">
      <c r="A462" t="s">
        <v>473</v>
      </c>
      <c r="B462" t="s">
        <v>973</v>
      </c>
      <c r="C462" t="s">
        <v>1016</v>
      </c>
      <c r="D462" t="s">
        <v>1017</v>
      </c>
      <c r="E462">
        <v>61052</v>
      </c>
      <c r="F462">
        <v>21909.169195379531</v>
      </c>
      <c r="G462" t="s">
        <v>1023</v>
      </c>
      <c r="H462" s="3">
        <v>45316</v>
      </c>
      <c r="I462" s="3">
        <v>45065</v>
      </c>
      <c r="J462" s="3">
        <v>45431</v>
      </c>
      <c r="K462" t="s">
        <v>1025</v>
      </c>
      <c r="L462">
        <v>49</v>
      </c>
      <c r="M462">
        <v>14855</v>
      </c>
    </row>
    <row r="463" spans="1:13" x14ac:dyDescent="0.35">
      <c r="A463" t="s">
        <v>474</v>
      </c>
      <c r="B463" t="s">
        <v>974</v>
      </c>
      <c r="C463" t="s">
        <v>1015</v>
      </c>
      <c r="D463" t="s">
        <v>1018</v>
      </c>
      <c r="E463">
        <v>13664</v>
      </c>
      <c r="F463">
        <v>62444.205951572869</v>
      </c>
      <c r="G463" t="s">
        <v>1023</v>
      </c>
      <c r="H463" s="3">
        <v>45415</v>
      </c>
      <c r="I463" s="3">
        <v>44968</v>
      </c>
      <c r="J463" s="3">
        <v>45636</v>
      </c>
      <c r="K463" t="s">
        <v>1025</v>
      </c>
      <c r="L463">
        <v>54</v>
      </c>
      <c r="M463">
        <v>5258</v>
      </c>
    </row>
    <row r="464" spans="1:13" x14ac:dyDescent="0.35">
      <c r="A464" t="s">
        <v>475</v>
      </c>
      <c r="B464" t="s">
        <v>975</v>
      </c>
      <c r="C464" t="s">
        <v>1016</v>
      </c>
      <c r="D464" t="s">
        <v>1017</v>
      </c>
      <c r="E464">
        <v>37737</v>
      </c>
      <c r="F464">
        <v>91736.129799045317</v>
      </c>
      <c r="G464" t="s">
        <v>1022</v>
      </c>
      <c r="H464" s="3">
        <v>45407</v>
      </c>
      <c r="I464" s="3">
        <v>45199</v>
      </c>
      <c r="J464" s="3">
        <v>45335</v>
      </c>
      <c r="K464" t="s">
        <v>1025</v>
      </c>
      <c r="L464">
        <v>54</v>
      </c>
      <c r="M464">
        <v>4817</v>
      </c>
    </row>
    <row r="465" spans="1:13" x14ac:dyDescent="0.35">
      <c r="A465" t="s">
        <v>476</v>
      </c>
      <c r="B465" t="s">
        <v>976</v>
      </c>
      <c r="C465" t="s">
        <v>1015</v>
      </c>
      <c r="D465" t="s">
        <v>1018</v>
      </c>
      <c r="E465">
        <v>91563</v>
      </c>
      <c r="F465">
        <v>70609.148655436089</v>
      </c>
      <c r="G465" t="s">
        <v>1023</v>
      </c>
      <c r="H465" s="3">
        <v>45559</v>
      </c>
      <c r="I465" s="3">
        <v>45069</v>
      </c>
      <c r="J465" s="3">
        <v>45579</v>
      </c>
      <c r="K465" t="s">
        <v>1025</v>
      </c>
      <c r="L465">
        <v>68</v>
      </c>
      <c r="M465">
        <v>10636</v>
      </c>
    </row>
    <row r="466" spans="1:13" x14ac:dyDescent="0.35">
      <c r="A466" t="s">
        <v>477</v>
      </c>
      <c r="B466" t="s">
        <v>977</v>
      </c>
      <c r="C466" t="s">
        <v>1014</v>
      </c>
      <c r="D466" t="s">
        <v>1021</v>
      </c>
      <c r="E466">
        <v>31373</v>
      </c>
      <c r="F466">
        <v>42402.629698503893</v>
      </c>
      <c r="G466" t="s">
        <v>1023</v>
      </c>
      <c r="H466" s="3">
        <v>45364</v>
      </c>
      <c r="I466" s="3">
        <v>44951</v>
      </c>
      <c r="J466" s="3">
        <v>45560</v>
      </c>
      <c r="K466" t="s">
        <v>1025</v>
      </c>
      <c r="L466">
        <v>58</v>
      </c>
      <c r="M466">
        <v>5641</v>
      </c>
    </row>
    <row r="467" spans="1:13" x14ac:dyDescent="0.35">
      <c r="A467" t="s">
        <v>478</v>
      </c>
      <c r="B467" t="s">
        <v>978</v>
      </c>
      <c r="C467" t="s">
        <v>1013</v>
      </c>
      <c r="D467" t="s">
        <v>1020</v>
      </c>
      <c r="E467">
        <v>38397</v>
      </c>
      <c r="F467">
        <v>30164.861414211959</v>
      </c>
      <c r="G467" t="s">
        <v>1023</v>
      </c>
      <c r="H467" s="3">
        <v>45561</v>
      </c>
      <c r="I467" s="3">
        <v>44976</v>
      </c>
      <c r="J467" s="3">
        <v>45427</v>
      </c>
      <c r="K467" t="s">
        <v>1025</v>
      </c>
      <c r="L467">
        <v>46</v>
      </c>
      <c r="M467">
        <v>6458</v>
      </c>
    </row>
    <row r="468" spans="1:13" x14ac:dyDescent="0.35">
      <c r="A468" t="s">
        <v>479</v>
      </c>
      <c r="B468" t="s">
        <v>979</v>
      </c>
      <c r="C468" t="s">
        <v>1014</v>
      </c>
      <c r="D468" t="s">
        <v>1020</v>
      </c>
      <c r="E468">
        <v>88145</v>
      </c>
      <c r="F468">
        <v>56204.893512914226</v>
      </c>
      <c r="G468" t="s">
        <v>1023</v>
      </c>
      <c r="H468" s="3">
        <v>45485</v>
      </c>
      <c r="I468" s="3">
        <v>45061</v>
      </c>
      <c r="J468" s="3">
        <v>45654</v>
      </c>
      <c r="K468" t="s">
        <v>1026</v>
      </c>
      <c r="L468">
        <v>45</v>
      </c>
      <c r="M468">
        <v>7307</v>
      </c>
    </row>
    <row r="469" spans="1:13" x14ac:dyDescent="0.35">
      <c r="A469" t="s">
        <v>480</v>
      </c>
      <c r="B469" t="s">
        <v>980</v>
      </c>
      <c r="C469" t="s">
        <v>1015</v>
      </c>
      <c r="D469" t="s">
        <v>1018</v>
      </c>
      <c r="E469">
        <v>40709</v>
      </c>
      <c r="F469">
        <v>41661.075072048268</v>
      </c>
      <c r="G469" t="s">
        <v>1023</v>
      </c>
      <c r="H469" s="3">
        <v>45541</v>
      </c>
      <c r="I469" s="3">
        <v>45250</v>
      </c>
      <c r="J469" s="3">
        <v>45445</v>
      </c>
      <c r="K469" t="s">
        <v>1026</v>
      </c>
      <c r="L469">
        <v>33</v>
      </c>
      <c r="M469">
        <v>10933</v>
      </c>
    </row>
    <row r="470" spans="1:13" x14ac:dyDescent="0.35">
      <c r="A470" t="s">
        <v>481</v>
      </c>
      <c r="B470" t="s">
        <v>981</v>
      </c>
      <c r="C470" t="s">
        <v>1015</v>
      </c>
      <c r="D470" t="s">
        <v>1020</v>
      </c>
      <c r="E470">
        <v>63120</v>
      </c>
      <c r="F470">
        <v>17869.39824229875</v>
      </c>
      <c r="G470" t="s">
        <v>1023</v>
      </c>
      <c r="H470" s="3">
        <v>45452</v>
      </c>
      <c r="I470" s="3">
        <v>44933</v>
      </c>
      <c r="J470" s="3">
        <v>45537</v>
      </c>
      <c r="K470" t="s">
        <v>1025</v>
      </c>
      <c r="L470">
        <v>36</v>
      </c>
      <c r="M470">
        <v>4041</v>
      </c>
    </row>
    <row r="471" spans="1:13" x14ac:dyDescent="0.35">
      <c r="A471" t="s">
        <v>482</v>
      </c>
      <c r="B471" t="s">
        <v>982</v>
      </c>
      <c r="C471" t="s">
        <v>1014</v>
      </c>
      <c r="D471" t="s">
        <v>1017</v>
      </c>
      <c r="E471">
        <v>21250</v>
      </c>
      <c r="F471">
        <v>61233.192476495897</v>
      </c>
      <c r="G471" t="s">
        <v>1024</v>
      </c>
      <c r="H471" s="3">
        <v>45587</v>
      </c>
      <c r="I471" s="3">
        <v>45148</v>
      </c>
      <c r="J471" s="3">
        <v>45351</v>
      </c>
      <c r="K471" t="s">
        <v>1026</v>
      </c>
      <c r="L471">
        <v>37</v>
      </c>
      <c r="M471">
        <v>2679</v>
      </c>
    </row>
    <row r="472" spans="1:13" x14ac:dyDescent="0.35">
      <c r="A472" t="s">
        <v>483</v>
      </c>
      <c r="B472" t="s">
        <v>983</v>
      </c>
      <c r="C472" t="s">
        <v>1015</v>
      </c>
      <c r="D472" t="s">
        <v>1019</v>
      </c>
      <c r="E472">
        <v>23172</v>
      </c>
      <c r="F472">
        <v>56798.624279662406</v>
      </c>
      <c r="G472" t="s">
        <v>1023</v>
      </c>
      <c r="H472" s="3">
        <v>45463</v>
      </c>
      <c r="I472" s="3">
        <v>44982</v>
      </c>
      <c r="J472" s="3">
        <v>45464</v>
      </c>
      <c r="K472" t="s">
        <v>1026</v>
      </c>
      <c r="L472">
        <v>64</v>
      </c>
      <c r="M472">
        <v>12659</v>
      </c>
    </row>
    <row r="473" spans="1:13" x14ac:dyDescent="0.35">
      <c r="A473" t="s">
        <v>484</v>
      </c>
      <c r="B473" t="s">
        <v>984</v>
      </c>
      <c r="C473" t="s">
        <v>1014</v>
      </c>
      <c r="D473" t="s">
        <v>1018</v>
      </c>
      <c r="E473">
        <v>13555</v>
      </c>
      <c r="F473">
        <v>36230.112788852239</v>
      </c>
      <c r="G473" t="s">
        <v>1022</v>
      </c>
      <c r="H473" s="3">
        <v>45549</v>
      </c>
      <c r="I473" s="3">
        <v>45060</v>
      </c>
      <c r="J473" s="3">
        <v>45323</v>
      </c>
      <c r="K473" t="s">
        <v>1025</v>
      </c>
      <c r="L473">
        <v>48</v>
      </c>
      <c r="M473">
        <v>13889</v>
      </c>
    </row>
    <row r="474" spans="1:13" x14ac:dyDescent="0.35">
      <c r="A474" t="s">
        <v>485</v>
      </c>
      <c r="B474" t="s">
        <v>985</v>
      </c>
      <c r="C474" t="s">
        <v>1013</v>
      </c>
      <c r="D474" t="s">
        <v>1020</v>
      </c>
      <c r="E474">
        <v>89410</v>
      </c>
      <c r="F474">
        <v>7351.0536344897428</v>
      </c>
      <c r="G474" t="s">
        <v>1023</v>
      </c>
      <c r="H474" s="3">
        <v>45398</v>
      </c>
      <c r="I474" s="3">
        <v>45123</v>
      </c>
      <c r="J474" s="3">
        <v>45398</v>
      </c>
      <c r="K474" t="s">
        <v>1025</v>
      </c>
      <c r="L474">
        <v>39</v>
      </c>
      <c r="M474">
        <v>7738</v>
      </c>
    </row>
    <row r="475" spans="1:13" x14ac:dyDescent="0.35">
      <c r="A475" t="s">
        <v>486</v>
      </c>
      <c r="B475" t="s">
        <v>986</v>
      </c>
      <c r="C475" t="s">
        <v>1014</v>
      </c>
      <c r="D475" t="s">
        <v>1018</v>
      </c>
      <c r="E475">
        <v>80617</v>
      </c>
      <c r="F475">
        <v>19348.700105394029</v>
      </c>
      <c r="G475" t="s">
        <v>1023</v>
      </c>
      <c r="H475" s="3">
        <v>45410</v>
      </c>
      <c r="I475" s="3">
        <v>45049</v>
      </c>
      <c r="J475" s="3">
        <v>45595</v>
      </c>
      <c r="K475" t="s">
        <v>1025</v>
      </c>
      <c r="L475">
        <v>46</v>
      </c>
      <c r="M475">
        <v>7668</v>
      </c>
    </row>
    <row r="476" spans="1:13" x14ac:dyDescent="0.35">
      <c r="A476" t="s">
        <v>487</v>
      </c>
      <c r="B476" t="s">
        <v>987</v>
      </c>
      <c r="C476" t="s">
        <v>1013</v>
      </c>
      <c r="D476" t="s">
        <v>1018</v>
      </c>
      <c r="E476">
        <v>55276</v>
      </c>
      <c r="F476">
        <v>44379.146534510561</v>
      </c>
      <c r="G476" t="s">
        <v>1023</v>
      </c>
      <c r="H476" s="3">
        <v>45569</v>
      </c>
      <c r="I476" s="3">
        <v>45284</v>
      </c>
      <c r="J476" s="3">
        <v>45560</v>
      </c>
      <c r="K476" t="s">
        <v>1026</v>
      </c>
      <c r="L476">
        <v>37</v>
      </c>
      <c r="M476">
        <v>11550</v>
      </c>
    </row>
    <row r="477" spans="1:13" x14ac:dyDescent="0.35">
      <c r="A477" t="s">
        <v>488</v>
      </c>
      <c r="B477" t="s">
        <v>988</v>
      </c>
      <c r="C477" t="s">
        <v>1014</v>
      </c>
      <c r="D477" t="s">
        <v>1019</v>
      </c>
      <c r="E477">
        <v>59492</v>
      </c>
      <c r="F477">
        <v>0</v>
      </c>
      <c r="G477" t="s">
        <v>1023</v>
      </c>
      <c r="H477" s="3">
        <v>45464</v>
      </c>
      <c r="I477" s="3">
        <v>44980</v>
      </c>
      <c r="J477" s="3">
        <v>45496</v>
      </c>
      <c r="K477" t="s">
        <v>1025</v>
      </c>
      <c r="L477">
        <v>23</v>
      </c>
      <c r="M477">
        <v>9697</v>
      </c>
    </row>
    <row r="478" spans="1:13" x14ac:dyDescent="0.35">
      <c r="A478" t="s">
        <v>489</v>
      </c>
      <c r="B478" t="s">
        <v>989</v>
      </c>
      <c r="C478" t="s">
        <v>1015</v>
      </c>
      <c r="D478" t="s">
        <v>1017</v>
      </c>
      <c r="E478">
        <v>55002</v>
      </c>
      <c r="F478">
        <v>85182.272270988746</v>
      </c>
      <c r="G478" t="s">
        <v>1023</v>
      </c>
      <c r="H478" s="3">
        <v>45496</v>
      </c>
      <c r="I478" s="3">
        <v>45196</v>
      </c>
      <c r="J478" s="3">
        <v>45518</v>
      </c>
      <c r="K478" t="s">
        <v>1026</v>
      </c>
      <c r="L478">
        <v>20</v>
      </c>
      <c r="M478">
        <v>10033</v>
      </c>
    </row>
    <row r="479" spans="1:13" x14ac:dyDescent="0.35">
      <c r="A479" t="s">
        <v>490</v>
      </c>
      <c r="B479" t="s">
        <v>990</v>
      </c>
      <c r="C479" t="s">
        <v>1014</v>
      </c>
      <c r="D479" t="s">
        <v>1018</v>
      </c>
      <c r="E479">
        <v>91599</v>
      </c>
      <c r="F479">
        <v>30825.092762024629</v>
      </c>
      <c r="G479" t="s">
        <v>1023</v>
      </c>
      <c r="H479" s="3">
        <v>45417</v>
      </c>
      <c r="I479" s="3">
        <v>45076</v>
      </c>
      <c r="J479" s="3">
        <v>45402</v>
      </c>
      <c r="K479" t="s">
        <v>1025</v>
      </c>
      <c r="L479">
        <v>69</v>
      </c>
      <c r="M479">
        <v>2062</v>
      </c>
    </row>
    <row r="480" spans="1:13" x14ac:dyDescent="0.35">
      <c r="A480" t="s">
        <v>491</v>
      </c>
      <c r="B480" t="s">
        <v>991</v>
      </c>
      <c r="C480" t="s">
        <v>1015</v>
      </c>
      <c r="D480" t="s">
        <v>1020</v>
      </c>
      <c r="E480">
        <v>74355</v>
      </c>
      <c r="F480">
        <v>30255.68266555333</v>
      </c>
      <c r="G480" t="s">
        <v>1023</v>
      </c>
      <c r="H480" s="3">
        <v>45320</v>
      </c>
      <c r="I480" s="3">
        <v>45241</v>
      </c>
      <c r="J480" s="3">
        <v>45446</v>
      </c>
      <c r="K480" t="s">
        <v>1026</v>
      </c>
      <c r="L480">
        <v>20</v>
      </c>
      <c r="M480">
        <v>9829</v>
      </c>
    </row>
    <row r="481" spans="1:13" x14ac:dyDescent="0.35">
      <c r="A481" t="s">
        <v>492</v>
      </c>
      <c r="B481" t="s">
        <v>992</v>
      </c>
      <c r="C481" t="s">
        <v>1014</v>
      </c>
      <c r="D481" t="s">
        <v>1021</v>
      </c>
      <c r="E481">
        <v>93248</v>
      </c>
      <c r="F481">
        <v>38106.11678827116</v>
      </c>
      <c r="G481" t="s">
        <v>1023</v>
      </c>
      <c r="H481" s="3">
        <v>45460</v>
      </c>
      <c r="I481" s="3">
        <v>45056</v>
      </c>
      <c r="J481" s="3">
        <v>45460</v>
      </c>
      <c r="K481" t="s">
        <v>1025</v>
      </c>
      <c r="L481">
        <v>45</v>
      </c>
      <c r="M481">
        <v>12751</v>
      </c>
    </row>
    <row r="482" spans="1:13" x14ac:dyDescent="0.35">
      <c r="A482" t="s">
        <v>493</v>
      </c>
      <c r="B482" t="s">
        <v>993</v>
      </c>
      <c r="C482" t="s">
        <v>1014</v>
      </c>
      <c r="D482" t="s">
        <v>1018</v>
      </c>
      <c r="E482">
        <v>26762</v>
      </c>
      <c r="F482">
        <v>74769.761364762715</v>
      </c>
      <c r="G482" t="s">
        <v>1023</v>
      </c>
      <c r="H482" s="3">
        <v>45441</v>
      </c>
      <c r="I482" s="3">
        <v>45186</v>
      </c>
      <c r="J482" s="3">
        <v>45371</v>
      </c>
      <c r="K482" t="s">
        <v>1025</v>
      </c>
      <c r="L482">
        <v>64</v>
      </c>
      <c r="M482">
        <v>13961</v>
      </c>
    </row>
    <row r="483" spans="1:13" x14ac:dyDescent="0.35">
      <c r="A483" t="s">
        <v>494</v>
      </c>
      <c r="B483" t="s">
        <v>994</v>
      </c>
      <c r="C483" t="s">
        <v>1016</v>
      </c>
      <c r="D483" t="s">
        <v>1018</v>
      </c>
      <c r="E483">
        <v>13046</v>
      </c>
      <c r="F483">
        <v>14793.25973470638</v>
      </c>
      <c r="G483" t="s">
        <v>1024</v>
      </c>
      <c r="H483" s="3">
        <v>45314</v>
      </c>
      <c r="I483" s="3">
        <v>45291</v>
      </c>
      <c r="J483" s="3">
        <v>45623</v>
      </c>
      <c r="K483" t="s">
        <v>1026</v>
      </c>
      <c r="L483">
        <v>39</v>
      </c>
      <c r="M483">
        <v>9352</v>
      </c>
    </row>
    <row r="484" spans="1:13" x14ac:dyDescent="0.35">
      <c r="A484" t="s">
        <v>495</v>
      </c>
      <c r="B484" t="s">
        <v>995</v>
      </c>
      <c r="C484" t="s">
        <v>1015</v>
      </c>
      <c r="D484" t="s">
        <v>1019</v>
      </c>
      <c r="E484">
        <v>98999</v>
      </c>
      <c r="F484">
        <v>30319.29353303017</v>
      </c>
      <c r="G484" t="s">
        <v>1023</v>
      </c>
      <c r="H484" s="3">
        <v>45296</v>
      </c>
      <c r="I484" s="3">
        <v>45189</v>
      </c>
      <c r="J484" s="3">
        <v>45463</v>
      </c>
      <c r="K484" t="s">
        <v>1026</v>
      </c>
      <c r="L484">
        <v>42</v>
      </c>
      <c r="M484">
        <v>8915</v>
      </c>
    </row>
    <row r="485" spans="1:13" x14ac:dyDescent="0.35">
      <c r="A485" t="s">
        <v>496</v>
      </c>
      <c r="B485" t="s">
        <v>996</v>
      </c>
      <c r="C485" t="s">
        <v>1016</v>
      </c>
      <c r="D485" t="s">
        <v>1017</v>
      </c>
      <c r="E485">
        <v>30769</v>
      </c>
      <c r="F485">
        <v>0</v>
      </c>
      <c r="G485" t="s">
        <v>1023</v>
      </c>
      <c r="H485" s="3">
        <v>45470</v>
      </c>
      <c r="I485" s="3">
        <v>45201</v>
      </c>
      <c r="J485" s="3">
        <v>45364</v>
      </c>
      <c r="K485" t="s">
        <v>1026</v>
      </c>
      <c r="L485">
        <v>29</v>
      </c>
      <c r="M485">
        <v>14543</v>
      </c>
    </row>
    <row r="486" spans="1:13" x14ac:dyDescent="0.35">
      <c r="A486" t="s">
        <v>497</v>
      </c>
      <c r="B486" t="s">
        <v>997</v>
      </c>
      <c r="C486" t="s">
        <v>1015</v>
      </c>
      <c r="D486" t="s">
        <v>1021</v>
      </c>
      <c r="E486">
        <v>55302</v>
      </c>
      <c r="F486">
        <v>66375.819850127751</v>
      </c>
      <c r="G486" t="s">
        <v>1023</v>
      </c>
      <c r="H486" s="3">
        <v>45338</v>
      </c>
      <c r="I486" s="3">
        <v>45171</v>
      </c>
      <c r="J486" s="3">
        <v>45577</v>
      </c>
      <c r="K486" t="s">
        <v>1026</v>
      </c>
      <c r="L486">
        <v>30</v>
      </c>
      <c r="M486">
        <v>10326</v>
      </c>
    </row>
    <row r="487" spans="1:13" x14ac:dyDescent="0.35">
      <c r="A487" t="s">
        <v>498</v>
      </c>
      <c r="B487" t="s">
        <v>998</v>
      </c>
      <c r="C487" t="s">
        <v>1016</v>
      </c>
      <c r="D487" t="s">
        <v>1020</v>
      </c>
      <c r="E487">
        <v>25150</v>
      </c>
      <c r="F487">
        <v>52542.927821026307</v>
      </c>
      <c r="G487" t="s">
        <v>1023</v>
      </c>
      <c r="H487" s="3">
        <v>45488</v>
      </c>
      <c r="I487" s="3">
        <v>45281</v>
      </c>
      <c r="J487" s="3">
        <v>45480</v>
      </c>
      <c r="K487" t="s">
        <v>1026</v>
      </c>
      <c r="L487">
        <v>60</v>
      </c>
      <c r="M487">
        <v>5644</v>
      </c>
    </row>
    <row r="488" spans="1:13" x14ac:dyDescent="0.35">
      <c r="A488" t="s">
        <v>499</v>
      </c>
      <c r="B488" t="s">
        <v>999</v>
      </c>
      <c r="C488" t="s">
        <v>1013</v>
      </c>
      <c r="D488" t="s">
        <v>1021</v>
      </c>
      <c r="E488">
        <v>70247</v>
      </c>
      <c r="F488">
        <v>66833.939693687644</v>
      </c>
      <c r="G488" t="s">
        <v>1023</v>
      </c>
      <c r="H488" s="3">
        <v>45578</v>
      </c>
      <c r="I488" s="3">
        <v>45079</v>
      </c>
      <c r="J488" s="3">
        <v>45526</v>
      </c>
      <c r="K488" t="s">
        <v>1026</v>
      </c>
      <c r="L488">
        <v>60</v>
      </c>
      <c r="M488">
        <v>6970</v>
      </c>
    </row>
    <row r="489" spans="1:13" x14ac:dyDescent="0.35">
      <c r="A489" t="s">
        <v>500</v>
      </c>
      <c r="B489" t="s">
        <v>1000</v>
      </c>
      <c r="C489" t="s">
        <v>1014</v>
      </c>
      <c r="D489" t="s">
        <v>1020</v>
      </c>
      <c r="E489">
        <v>6853</v>
      </c>
      <c r="F489">
        <v>7833.3958548634473</v>
      </c>
      <c r="G489" t="s">
        <v>1023</v>
      </c>
      <c r="H489" s="3">
        <v>45496</v>
      </c>
      <c r="I489" s="3">
        <v>44969</v>
      </c>
      <c r="J489" s="3">
        <v>45453</v>
      </c>
      <c r="K489" t="s">
        <v>1025</v>
      </c>
      <c r="L489">
        <v>24</v>
      </c>
      <c r="M489">
        <v>12327</v>
      </c>
    </row>
    <row r="490" spans="1:13" x14ac:dyDescent="0.35">
      <c r="A490" t="s">
        <v>501</v>
      </c>
      <c r="B490" t="s">
        <v>1001</v>
      </c>
      <c r="C490" t="s">
        <v>1015</v>
      </c>
      <c r="D490" t="s">
        <v>1017</v>
      </c>
      <c r="E490">
        <v>96613</v>
      </c>
      <c r="F490">
        <v>26046.725047895769</v>
      </c>
      <c r="G490" t="s">
        <v>1023</v>
      </c>
      <c r="H490" s="3">
        <v>45516</v>
      </c>
      <c r="I490" s="3">
        <v>45120</v>
      </c>
      <c r="J490" s="3">
        <v>45492</v>
      </c>
      <c r="K490" t="s">
        <v>1026</v>
      </c>
      <c r="L490">
        <v>20</v>
      </c>
      <c r="M490">
        <v>10003</v>
      </c>
    </row>
    <row r="491" spans="1:13" x14ac:dyDescent="0.35">
      <c r="A491" t="s">
        <v>502</v>
      </c>
      <c r="B491" t="s">
        <v>1002</v>
      </c>
      <c r="C491" t="s">
        <v>1015</v>
      </c>
      <c r="D491" t="s">
        <v>1020</v>
      </c>
      <c r="E491">
        <v>91399</v>
      </c>
      <c r="F491">
        <v>0</v>
      </c>
      <c r="G491" t="s">
        <v>1023</v>
      </c>
      <c r="H491" s="3">
        <v>45538</v>
      </c>
      <c r="I491" s="3">
        <v>45048</v>
      </c>
      <c r="J491" s="3">
        <v>45325</v>
      </c>
      <c r="K491" t="s">
        <v>1025</v>
      </c>
      <c r="L491">
        <v>36</v>
      </c>
      <c r="M491">
        <v>5278</v>
      </c>
    </row>
    <row r="492" spans="1:13" x14ac:dyDescent="0.35">
      <c r="A492" t="s">
        <v>503</v>
      </c>
      <c r="B492" t="s">
        <v>1003</v>
      </c>
      <c r="C492" t="s">
        <v>1014</v>
      </c>
      <c r="D492" t="s">
        <v>1019</v>
      </c>
      <c r="E492">
        <v>23792</v>
      </c>
      <c r="F492">
        <v>0</v>
      </c>
      <c r="G492" t="s">
        <v>1023</v>
      </c>
      <c r="H492" s="3">
        <v>45445</v>
      </c>
      <c r="I492" s="3">
        <v>45265</v>
      </c>
      <c r="J492" s="3">
        <v>45432</v>
      </c>
      <c r="K492" t="s">
        <v>1025</v>
      </c>
      <c r="L492">
        <v>41</v>
      </c>
      <c r="M492">
        <v>9296</v>
      </c>
    </row>
    <row r="493" spans="1:13" x14ac:dyDescent="0.35">
      <c r="A493" t="s">
        <v>504</v>
      </c>
      <c r="B493" t="s">
        <v>1004</v>
      </c>
      <c r="C493" t="s">
        <v>1015</v>
      </c>
      <c r="D493" t="s">
        <v>1019</v>
      </c>
      <c r="E493">
        <v>61129</v>
      </c>
      <c r="F493">
        <v>61683.986912179309</v>
      </c>
      <c r="G493" t="s">
        <v>1023</v>
      </c>
      <c r="H493" s="3">
        <v>45386</v>
      </c>
      <c r="I493" s="3">
        <v>45051</v>
      </c>
      <c r="J493" s="3">
        <v>45417</v>
      </c>
      <c r="K493" t="s">
        <v>1026</v>
      </c>
      <c r="L493">
        <v>53</v>
      </c>
      <c r="M493">
        <v>11014</v>
      </c>
    </row>
    <row r="494" spans="1:13" x14ac:dyDescent="0.35">
      <c r="A494" t="s">
        <v>505</v>
      </c>
      <c r="B494" t="s">
        <v>1005</v>
      </c>
      <c r="C494" t="s">
        <v>1015</v>
      </c>
      <c r="D494" t="s">
        <v>1019</v>
      </c>
      <c r="E494">
        <v>76478</v>
      </c>
      <c r="F494">
        <v>0</v>
      </c>
      <c r="G494" t="s">
        <v>1023</v>
      </c>
      <c r="H494" s="3">
        <v>45341</v>
      </c>
      <c r="I494" s="3">
        <v>45209</v>
      </c>
      <c r="J494" s="3">
        <v>45504</v>
      </c>
      <c r="K494" t="s">
        <v>1025</v>
      </c>
      <c r="L494">
        <v>64</v>
      </c>
      <c r="M494">
        <v>5074</v>
      </c>
    </row>
    <row r="495" spans="1:13" x14ac:dyDescent="0.35">
      <c r="A495" t="s">
        <v>506</v>
      </c>
      <c r="B495" t="s">
        <v>1006</v>
      </c>
      <c r="C495" t="s">
        <v>1016</v>
      </c>
      <c r="D495" t="s">
        <v>1019</v>
      </c>
      <c r="E495">
        <v>69298</v>
      </c>
      <c r="F495">
        <v>0</v>
      </c>
      <c r="G495" t="s">
        <v>1023</v>
      </c>
      <c r="H495" s="3">
        <v>45343</v>
      </c>
      <c r="I495" s="3">
        <v>45002</v>
      </c>
      <c r="J495" s="3">
        <v>45355</v>
      </c>
      <c r="K495" t="s">
        <v>1026</v>
      </c>
      <c r="L495">
        <v>60</v>
      </c>
      <c r="M495">
        <v>13173</v>
      </c>
    </row>
    <row r="496" spans="1:13" x14ac:dyDescent="0.35">
      <c r="A496" t="s">
        <v>507</v>
      </c>
      <c r="B496" t="s">
        <v>1007</v>
      </c>
      <c r="C496" t="s">
        <v>1015</v>
      </c>
      <c r="D496" t="s">
        <v>1021</v>
      </c>
      <c r="E496">
        <v>33987</v>
      </c>
      <c r="F496">
        <v>0</v>
      </c>
      <c r="G496" t="s">
        <v>1023</v>
      </c>
      <c r="H496" s="3">
        <v>45402</v>
      </c>
      <c r="I496" s="3">
        <v>45043</v>
      </c>
      <c r="J496" s="3">
        <v>45474</v>
      </c>
      <c r="K496" t="s">
        <v>1026</v>
      </c>
      <c r="L496">
        <v>48</v>
      </c>
      <c r="M496">
        <v>10312</v>
      </c>
    </row>
    <row r="497" spans="1:13" x14ac:dyDescent="0.35">
      <c r="A497" t="s">
        <v>508</v>
      </c>
      <c r="B497" t="s">
        <v>1008</v>
      </c>
      <c r="C497" t="s">
        <v>1013</v>
      </c>
      <c r="D497" t="s">
        <v>1017</v>
      </c>
      <c r="E497">
        <v>17850</v>
      </c>
      <c r="F497">
        <v>47723.768936795786</v>
      </c>
      <c r="G497" t="s">
        <v>1022</v>
      </c>
      <c r="H497" s="3">
        <v>45463</v>
      </c>
      <c r="I497" s="3">
        <v>44953</v>
      </c>
      <c r="J497" s="3">
        <v>45620</v>
      </c>
      <c r="K497" t="s">
        <v>1025</v>
      </c>
      <c r="L497">
        <v>23</v>
      </c>
      <c r="M497">
        <v>9552</v>
      </c>
    </row>
    <row r="498" spans="1:13" x14ac:dyDescent="0.35">
      <c r="A498" t="s">
        <v>509</v>
      </c>
      <c r="B498" t="s">
        <v>1009</v>
      </c>
      <c r="C498" t="s">
        <v>1013</v>
      </c>
      <c r="D498" t="s">
        <v>1020</v>
      </c>
      <c r="E498">
        <v>14112</v>
      </c>
      <c r="F498">
        <v>26036.799679527419</v>
      </c>
      <c r="G498" t="s">
        <v>1023</v>
      </c>
      <c r="H498" s="3">
        <v>45454</v>
      </c>
      <c r="I498" s="3">
        <v>45183</v>
      </c>
      <c r="J498" s="3">
        <v>45504</v>
      </c>
      <c r="K498" t="s">
        <v>1025</v>
      </c>
      <c r="L498">
        <v>24</v>
      </c>
      <c r="M498">
        <v>3637</v>
      </c>
    </row>
    <row r="499" spans="1:13" x14ac:dyDescent="0.35">
      <c r="A499" t="s">
        <v>510</v>
      </c>
      <c r="B499" t="s">
        <v>1010</v>
      </c>
      <c r="C499" t="s">
        <v>1014</v>
      </c>
      <c r="D499" t="s">
        <v>1020</v>
      </c>
      <c r="E499">
        <v>26058</v>
      </c>
      <c r="F499">
        <v>20307.01629957397</v>
      </c>
      <c r="G499" t="s">
        <v>1023</v>
      </c>
      <c r="H499" s="3">
        <v>45517</v>
      </c>
      <c r="I499" s="3">
        <v>45008</v>
      </c>
      <c r="J499" s="3">
        <v>45549</v>
      </c>
      <c r="K499" t="s">
        <v>1026</v>
      </c>
      <c r="L499">
        <v>30</v>
      </c>
      <c r="M499">
        <v>7103</v>
      </c>
    </row>
    <row r="500" spans="1:13" x14ac:dyDescent="0.35">
      <c r="A500" t="s">
        <v>511</v>
      </c>
      <c r="B500" t="s">
        <v>1011</v>
      </c>
      <c r="C500" t="s">
        <v>1015</v>
      </c>
      <c r="D500" t="s">
        <v>1019</v>
      </c>
      <c r="E500">
        <v>47420</v>
      </c>
      <c r="F500">
        <v>44325.306714504557</v>
      </c>
      <c r="G500" t="s">
        <v>1023</v>
      </c>
      <c r="H500" s="3">
        <v>45475</v>
      </c>
      <c r="I500" s="3">
        <v>45085</v>
      </c>
      <c r="J500" s="3">
        <v>45500</v>
      </c>
      <c r="K500" t="s">
        <v>1026</v>
      </c>
      <c r="L500">
        <v>40</v>
      </c>
      <c r="M500">
        <v>11116</v>
      </c>
    </row>
    <row r="501" spans="1:13" x14ac:dyDescent="0.35">
      <c r="A501" t="s">
        <v>512</v>
      </c>
      <c r="B501" t="s">
        <v>1012</v>
      </c>
      <c r="C501" t="s">
        <v>1014</v>
      </c>
      <c r="D501" t="s">
        <v>1019</v>
      </c>
      <c r="E501">
        <v>40890</v>
      </c>
      <c r="F501">
        <v>73324.357344213975</v>
      </c>
      <c r="G501" t="s">
        <v>1024</v>
      </c>
      <c r="H501" s="3">
        <v>45459</v>
      </c>
      <c r="I501" s="3">
        <v>45204</v>
      </c>
      <c r="J501" s="3">
        <v>45413</v>
      </c>
      <c r="K501" t="s">
        <v>1025</v>
      </c>
      <c r="L501">
        <v>54</v>
      </c>
      <c r="M501">
        <v>2644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Views>
    <sheetView topLeftCell="A478" workbookViewId="0">
      <selection activeCell="J1" sqref="J1"/>
    </sheetView>
  </sheetViews>
  <sheetFormatPr defaultRowHeight="14.5" x14ac:dyDescent="0.35"/>
  <cols>
    <col min="2" max="2" width="15" bestFit="1" customWidth="1"/>
    <col min="3" max="3" width="10.6328125" bestFit="1" customWidth="1"/>
    <col min="4" max="4" width="9.1796875" bestFit="1" customWidth="1"/>
    <col min="5" max="5" width="16.81640625" style="6" customWidth="1"/>
    <col min="6" max="6" width="16.90625" style="6" customWidth="1"/>
    <col min="7" max="7" width="13.26953125" customWidth="1"/>
    <col min="8" max="8" width="10.08984375" style="3" bestFit="1" customWidth="1"/>
    <col min="9" max="10" width="16.453125" style="3" customWidth="1"/>
    <col min="13" max="13" width="16.36328125" style="6" bestFit="1" customWidth="1"/>
    <col min="15" max="15" width="19.54296875" bestFit="1" customWidth="1"/>
    <col min="16" max="16" width="21.08984375" customWidth="1"/>
    <col min="17" max="18" width="14.6328125" bestFit="1" customWidth="1"/>
    <col min="19" max="19" width="17.26953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5" t="s">
        <v>12</v>
      </c>
      <c r="O1" s="4" t="s">
        <v>1027</v>
      </c>
      <c r="P1" s="7" t="s">
        <v>1028</v>
      </c>
      <c r="Q1" s="4" t="s">
        <v>1029</v>
      </c>
      <c r="R1" s="4" t="s">
        <v>1030</v>
      </c>
      <c r="S1" s="7" t="s">
        <v>1031</v>
      </c>
    </row>
    <row r="2" spans="1:19" x14ac:dyDescent="0.35">
      <c r="A2" t="s">
        <v>13</v>
      </c>
      <c r="B2" t="s">
        <v>513</v>
      </c>
      <c r="C2" t="s">
        <v>1013</v>
      </c>
      <c r="D2" t="s">
        <v>1017</v>
      </c>
      <c r="E2" s="6">
        <v>37854</v>
      </c>
      <c r="F2" s="6">
        <v>35877.021703930273</v>
      </c>
      <c r="G2" t="s">
        <v>1022</v>
      </c>
      <c r="H2" s="3">
        <v>45496</v>
      </c>
      <c r="I2" s="3">
        <v>45052</v>
      </c>
      <c r="J2" s="3">
        <v>45651</v>
      </c>
      <c r="K2" t="s">
        <v>1025</v>
      </c>
      <c r="L2">
        <v>38</v>
      </c>
      <c r="M2" s="6">
        <v>12827</v>
      </c>
      <c r="O2">
        <f>IF(E2=0, 0, ROUND(F2 / E2, 3))</f>
        <v>0.94799999999999995</v>
      </c>
      <c r="P2">
        <f>IF(AND(ISNUMBER(I2), ISNUMBER(J2)), DATEDIF(I2, J2, "D"), "")</f>
        <v>599</v>
      </c>
      <c r="Q2">
        <f ca="1">IF(ISNUMBER(H2), TODAY() - H2, "")</f>
        <v>467</v>
      </c>
      <c r="R2" t="str">
        <f>IF(E2&gt;50000, "High","Normal")</f>
        <v>Normal</v>
      </c>
      <c r="S2">
        <f>IF(G2="Rejected", 0, F2)</f>
        <v>35877.021703930273</v>
      </c>
    </row>
    <row r="3" spans="1:19" x14ac:dyDescent="0.35">
      <c r="A3" t="s">
        <v>14</v>
      </c>
      <c r="B3" t="s">
        <v>514</v>
      </c>
      <c r="C3" t="s">
        <v>1014</v>
      </c>
      <c r="D3" t="s">
        <v>1017</v>
      </c>
      <c r="E3" s="6">
        <v>48271</v>
      </c>
      <c r="F3" s="6">
        <v>36123.724027556767</v>
      </c>
      <c r="G3" t="s">
        <v>1023</v>
      </c>
      <c r="H3" s="3">
        <v>45586</v>
      </c>
      <c r="I3" s="3">
        <v>45108</v>
      </c>
      <c r="J3" s="3">
        <v>45311</v>
      </c>
      <c r="K3" t="s">
        <v>1026</v>
      </c>
      <c r="L3">
        <v>57</v>
      </c>
      <c r="M3" s="6">
        <v>12521</v>
      </c>
      <c r="O3">
        <f t="shared" ref="O3:O66" si="0">IF(E3=0, 0, ROUND(F3 / E3, 3))</f>
        <v>0.748</v>
      </c>
      <c r="P3">
        <f t="shared" ref="P3:P66" si="1">IF(AND(ISNUMBER(I3), ISNUMBER(J3)), DATEDIF(I3, J3, "D"), "")</f>
        <v>203</v>
      </c>
      <c r="Q3">
        <f t="shared" ref="Q3:Q66" ca="1" si="2">IF(ISNUMBER(H3), TODAY() - H3, "")</f>
        <v>377</v>
      </c>
      <c r="R3" t="str">
        <f t="shared" ref="R3:R66" si="3">IF(E3&gt;50000, "High","Normal")</f>
        <v>Normal</v>
      </c>
      <c r="S3">
        <f t="shared" ref="S3:S66" si="4">IF(G3="Rejected", 0, F3)</f>
        <v>36123.724027556767</v>
      </c>
    </row>
    <row r="4" spans="1:19" x14ac:dyDescent="0.35">
      <c r="A4" t="s">
        <v>15</v>
      </c>
      <c r="B4" t="s">
        <v>515</v>
      </c>
      <c r="C4" t="s">
        <v>1015</v>
      </c>
      <c r="D4" t="s">
        <v>1018</v>
      </c>
      <c r="E4" s="6">
        <v>75688</v>
      </c>
      <c r="F4" s="6">
        <v>29528.10433953617</v>
      </c>
      <c r="G4" t="s">
        <v>1023</v>
      </c>
      <c r="H4" s="3">
        <v>45427</v>
      </c>
      <c r="I4" s="3">
        <v>44955</v>
      </c>
      <c r="J4" s="3">
        <v>45488</v>
      </c>
      <c r="K4" t="s">
        <v>1025</v>
      </c>
      <c r="L4">
        <v>35</v>
      </c>
      <c r="M4" s="6">
        <v>14146</v>
      </c>
      <c r="O4">
        <f t="shared" si="0"/>
        <v>0.39</v>
      </c>
      <c r="P4">
        <f t="shared" si="1"/>
        <v>533</v>
      </c>
      <c r="Q4">
        <f t="shared" ca="1" si="2"/>
        <v>536</v>
      </c>
      <c r="R4" t="str">
        <f t="shared" si="3"/>
        <v>High</v>
      </c>
      <c r="S4">
        <f t="shared" si="4"/>
        <v>29528.10433953617</v>
      </c>
    </row>
    <row r="5" spans="1:19" x14ac:dyDescent="0.35">
      <c r="A5" t="s">
        <v>16</v>
      </c>
      <c r="B5" t="s">
        <v>516</v>
      </c>
      <c r="C5" t="s">
        <v>1013</v>
      </c>
      <c r="D5" t="s">
        <v>1019</v>
      </c>
      <c r="E5" s="6">
        <v>40518</v>
      </c>
      <c r="F5" s="6">
        <v>3489.0602496926122</v>
      </c>
      <c r="G5" t="s">
        <v>1023</v>
      </c>
      <c r="H5" s="3">
        <v>45511</v>
      </c>
      <c r="I5" s="3">
        <v>45252</v>
      </c>
      <c r="J5" s="3">
        <v>45390</v>
      </c>
      <c r="K5" t="s">
        <v>1025</v>
      </c>
      <c r="L5">
        <v>21</v>
      </c>
      <c r="M5" s="6">
        <v>12642</v>
      </c>
      <c r="O5">
        <f t="shared" si="0"/>
        <v>8.5999999999999993E-2</v>
      </c>
      <c r="P5">
        <f t="shared" si="1"/>
        <v>138</v>
      </c>
      <c r="Q5">
        <f t="shared" ca="1" si="2"/>
        <v>452</v>
      </c>
      <c r="R5" t="str">
        <f t="shared" si="3"/>
        <v>Normal</v>
      </c>
      <c r="S5">
        <f t="shared" si="4"/>
        <v>3489.0602496926122</v>
      </c>
    </row>
    <row r="6" spans="1:19" x14ac:dyDescent="0.35">
      <c r="A6" t="s">
        <v>17</v>
      </c>
      <c r="B6" t="s">
        <v>517</v>
      </c>
      <c r="C6" t="s">
        <v>1013</v>
      </c>
      <c r="D6" t="s">
        <v>1020</v>
      </c>
      <c r="E6" s="6">
        <v>12267</v>
      </c>
      <c r="F6" s="6">
        <v>13445.754566960541</v>
      </c>
      <c r="G6" t="s">
        <v>1023</v>
      </c>
      <c r="H6" s="3">
        <v>45544</v>
      </c>
      <c r="I6" s="3">
        <v>45013</v>
      </c>
      <c r="J6" s="3">
        <v>45388</v>
      </c>
      <c r="K6" t="s">
        <v>1025</v>
      </c>
      <c r="L6">
        <v>59</v>
      </c>
      <c r="M6" s="6">
        <v>3132</v>
      </c>
      <c r="O6">
        <f t="shared" si="0"/>
        <v>1.0960000000000001</v>
      </c>
      <c r="P6">
        <f t="shared" si="1"/>
        <v>375</v>
      </c>
      <c r="Q6">
        <f t="shared" ca="1" si="2"/>
        <v>419</v>
      </c>
      <c r="R6" t="str">
        <f t="shared" si="3"/>
        <v>Normal</v>
      </c>
      <c r="S6">
        <f t="shared" si="4"/>
        <v>13445.754566960541</v>
      </c>
    </row>
    <row r="7" spans="1:19" x14ac:dyDescent="0.35">
      <c r="A7" t="s">
        <v>18</v>
      </c>
      <c r="B7" t="s">
        <v>518</v>
      </c>
      <c r="C7" t="s">
        <v>1014</v>
      </c>
      <c r="D7" t="s">
        <v>1018</v>
      </c>
      <c r="E7" s="6">
        <v>92825</v>
      </c>
      <c r="F7" s="6">
        <v>0</v>
      </c>
      <c r="G7" t="s">
        <v>1023</v>
      </c>
      <c r="H7" s="3">
        <v>45482</v>
      </c>
      <c r="I7" s="3">
        <v>44995</v>
      </c>
      <c r="J7" s="3">
        <v>45451</v>
      </c>
      <c r="K7" t="s">
        <v>1025</v>
      </c>
      <c r="L7">
        <v>36</v>
      </c>
      <c r="M7" s="6">
        <v>2699</v>
      </c>
      <c r="O7">
        <f t="shared" si="0"/>
        <v>0</v>
      </c>
      <c r="P7">
        <f t="shared" si="1"/>
        <v>456</v>
      </c>
      <c r="Q7">
        <f t="shared" ca="1" si="2"/>
        <v>481</v>
      </c>
      <c r="R7" t="str">
        <f t="shared" si="3"/>
        <v>High</v>
      </c>
      <c r="S7">
        <f t="shared" si="4"/>
        <v>0</v>
      </c>
    </row>
    <row r="8" spans="1:19" x14ac:dyDescent="0.35">
      <c r="A8" t="s">
        <v>19</v>
      </c>
      <c r="B8" t="s">
        <v>519</v>
      </c>
      <c r="C8" t="s">
        <v>1015</v>
      </c>
      <c r="D8" t="s">
        <v>1020</v>
      </c>
      <c r="E8" s="6">
        <v>3062</v>
      </c>
      <c r="F8" s="6">
        <v>28811.975269512888</v>
      </c>
      <c r="G8" t="s">
        <v>1022</v>
      </c>
      <c r="H8" s="3">
        <v>45506</v>
      </c>
      <c r="I8" s="3">
        <v>45258</v>
      </c>
      <c r="J8" s="3">
        <v>45345</v>
      </c>
      <c r="K8" t="s">
        <v>1026</v>
      </c>
      <c r="L8">
        <v>53</v>
      </c>
      <c r="M8" s="6">
        <v>9470</v>
      </c>
      <c r="O8">
        <f t="shared" si="0"/>
        <v>9.41</v>
      </c>
      <c r="P8">
        <f t="shared" si="1"/>
        <v>87</v>
      </c>
      <c r="Q8">
        <f t="shared" ca="1" si="2"/>
        <v>457</v>
      </c>
      <c r="R8" t="str">
        <f t="shared" si="3"/>
        <v>Normal</v>
      </c>
      <c r="S8">
        <f t="shared" si="4"/>
        <v>28811.975269512888</v>
      </c>
    </row>
    <row r="9" spans="1:19" x14ac:dyDescent="0.35">
      <c r="A9" t="s">
        <v>20</v>
      </c>
      <c r="B9" t="s">
        <v>520</v>
      </c>
      <c r="C9" t="s">
        <v>1015</v>
      </c>
      <c r="D9" t="s">
        <v>1020</v>
      </c>
      <c r="E9" s="6">
        <v>52448</v>
      </c>
      <c r="F9" s="6">
        <v>50886.149575036106</v>
      </c>
      <c r="G9" t="s">
        <v>1023</v>
      </c>
      <c r="H9" s="3">
        <v>45445</v>
      </c>
      <c r="I9" s="3">
        <v>45278</v>
      </c>
      <c r="J9" s="3">
        <v>45445</v>
      </c>
      <c r="K9" t="s">
        <v>1025</v>
      </c>
      <c r="L9">
        <v>61</v>
      </c>
      <c r="M9" s="6">
        <v>12230</v>
      </c>
      <c r="O9">
        <f t="shared" si="0"/>
        <v>0.97</v>
      </c>
      <c r="P9">
        <f t="shared" si="1"/>
        <v>167</v>
      </c>
      <c r="Q9">
        <f t="shared" ca="1" si="2"/>
        <v>518</v>
      </c>
      <c r="R9" t="str">
        <f t="shared" si="3"/>
        <v>High</v>
      </c>
      <c r="S9">
        <f t="shared" si="4"/>
        <v>50886.149575036106</v>
      </c>
    </row>
    <row r="10" spans="1:19" x14ac:dyDescent="0.35">
      <c r="A10" t="s">
        <v>21</v>
      </c>
      <c r="B10" t="s">
        <v>521</v>
      </c>
      <c r="C10" t="s">
        <v>1013</v>
      </c>
      <c r="D10" t="s">
        <v>1019</v>
      </c>
      <c r="E10" s="6">
        <v>97462</v>
      </c>
      <c r="F10" s="6">
        <v>27965.397837492899</v>
      </c>
      <c r="G10" t="s">
        <v>1023</v>
      </c>
      <c r="H10" s="3">
        <v>45424</v>
      </c>
      <c r="I10" s="3">
        <v>45213</v>
      </c>
      <c r="J10" s="3">
        <v>45379</v>
      </c>
      <c r="K10" t="s">
        <v>1025</v>
      </c>
      <c r="L10">
        <v>35</v>
      </c>
      <c r="M10" s="6">
        <v>8297</v>
      </c>
      <c r="O10">
        <f t="shared" si="0"/>
        <v>0.28699999999999998</v>
      </c>
      <c r="P10">
        <f t="shared" si="1"/>
        <v>166</v>
      </c>
      <c r="Q10">
        <f t="shared" ca="1" si="2"/>
        <v>539</v>
      </c>
      <c r="R10" t="str">
        <f t="shared" si="3"/>
        <v>High</v>
      </c>
      <c r="S10">
        <f t="shared" si="4"/>
        <v>27965.397837492899</v>
      </c>
    </row>
    <row r="11" spans="1:19" x14ac:dyDescent="0.35">
      <c r="A11" t="s">
        <v>22</v>
      </c>
      <c r="B11" t="s">
        <v>522</v>
      </c>
      <c r="C11" t="s">
        <v>1016</v>
      </c>
      <c r="D11" t="s">
        <v>1020</v>
      </c>
      <c r="E11" s="6">
        <v>8229</v>
      </c>
      <c r="F11" s="6">
        <v>1094.907939561258</v>
      </c>
      <c r="G11" t="s">
        <v>1023</v>
      </c>
      <c r="H11" s="3">
        <v>45483</v>
      </c>
      <c r="I11" s="3">
        <v>45290</v>
      </c>
      <c r="J11" s="3">
        <v>45482</v>
      </c>
      <c r="K11" t="s">
        <v>1025</v>
      </c>
      <c r="L11">
        <v>57</v>
      </c>
      <c r="M11" s="6">
        <v>14839</v>
      </c>
      <c r="O11">
        <f t="shared" si="0"/>
        <v>0.13300000000000001</v>
      </c>
      <c r="P11">
        <f t="shared" si="1"/>
        <v>192</v>
      </c>
      <c r="Q11">
        <f t="shared" ca="1" si="2"/>
        <v>480</v>
      </c>
      <c r="R11" t="str">
        <f t="shared" si="3"/>
        <v>Normal</v>
      </c>
      <c r="S11">
        <f t="shared" si="4"/>
        <v>1094.907939561258</v>
      </c>
    </row>
    <row r="12" spans="1:19" x14ac:dyDescent="0.35">
      <c r="A12" t="s">
        <v>23</v>
      </c>
      <c r="B12" t="s">
        <v>523</v>
      </c>
      <c r="C12" t="s">
        <v>1013</v>
      </c>
      <c r="D12" t="s">
        <v>1020</v>
      </c>
      <c r="E12" s="6">
        <v>58793</v>
      </c>
      <c r="F12" s="6">
        <v>67553.770842831698</v>
      </c>
      <c r="G12" t="s">
        <v>1024</v>
      </c>
      <c r="H12" s="3">
        <v>45496</v>
      </c>
      <c r="I12" s="3">
        <v>45078</v>
      </c>
      <c r="J12" s="3">
        <v>45404</v>
      </c>
      <c r="K12" t="s">
        <v>1025</v>
      </c>
      <c r="L12">
        <v>21</v>
      </c>
      <c r="M12" s="6">
        <v>9812</v>
      </c>
      <c r="O12">
        <f t="shared" si="0"/>
        <v>1.149</v>
      </c>
      <c r="P12">
        <f t="shared" si="1"/>
        <v>326</v>
      </c>
      <c r="Q12">
        <f t="shared" ca="1" si="2"/>
        <v>467</v>
      </c>
      <c r="R12" t="str">
        <f t="shared" si="3"/>
        <v>High</v>
      </c>
      <c r="S12">
        <f t="shared" si="4"/>
        <v>0</v>
      </c>
    </row>
    <row r="13" spans="1:19" x14ac:dyDescent="0.35">
      <c r="A13" t="s">
        <v>24</v>
      </c>
      <c r="B13" t="s">
        <v>524</v>
      </c>
      <c r="C13" t="s">
        <v>1013</v>
      </c>
      <c r="D13" t="s">
        <v>1019</v>
      </c>
      <c r="E13" s="6">
        <v>49915</v>
      </c>
      <c r="F13" s="6">
        <v>78639.144436682778</v>
      </c>
      <c r="G13" t="s">
        <v>1023</v>
      </c>
      <c r="H13" s="3">
        <v>45326</v>
      </c>
      <c r="I13" s="3">
        <v>45057</v>
      </c>
      <c r="J13" s="3">
        <v>45331</v>
      </c>
      <c r="K13" t="s">
        <v>1025</v>
      </c>
      <c r="L13">
        <v>21</v>
      </c>
      <c r="M13" s="6">
        <v>14692</v>
      </c>
      <c r="O13">
        <f t="shared" si="0"/>
        <v>1.575</v>
      </c>
      <c r="P13">
        <f t="shared" si="1"/>
        <v>274</v>
      </c>
      <c r="Q13">
        <f t="shared" ca="1" si="2"/>
        <v>637</v>
      </c>
      <c r="R13" t="str">
        <f t="shared" si="3"/>
        <v>Normal</v>
      </c>
      <c r="S13">
        <f t="shared" si="4"/>
        <v>78639.144436682778</v>
      </c>
    </row>
    <row r="14" spans="1:19" x14ac:dyDescent="0.35">
      <c r="A14" t="s">
        <v>25</v>
      </c>
      <c r="B14" t="s">
        <v>525</v>
      </c>
      <c r="C14" t="s">
        <v>1013</v>
      </c>
      <c r="D14" t="s">
        <v>1020</v>
      </c>
      <c r="E14" s="6">
        <v>6632</v>
      </c>
      <c r="F14" s="6">
        <v>57174.482835898227</v>
      </c>
      <c r="G14" t="s">
        <v>1022</v>
      </c>
      <c r="H14" s="3">
        <v>45583</v>
      </c>
      <c r="I14" s="3">
        <v>45274</v>
      </c>
      <c r="J14" s="3">
        <v>45329</v>
      </c>
      <c r="K14" t="s">
        <v>1025</v>
      </c>
      <c r="L14">
        <v>45</v>
      </c>
      <c r="M14" s="6">
        <v>6557</v>
      </c>
      <c r="O14">
        <f t="shared" si="0"/>
        <v>8.6210000000000004</v>
      </c>
      <c r="P14">
        <f t="shared" si="1"/>
        <v>55</v>
      </c>
      <c r="Q14">
        <f t="shared" ca="1" si="2"/>
        <v>380</v>
      </c>
      <c r="R14" t="str">
        <f t="shared" si="3"/>
        <v>Normal</v>
      </c>
      <c r="S14">
        <f t="shared" si="4"/>
        <v>57174.482835898227</v>
      </c>
    </row>
    <row r="15" spans="1:19" x14ac:dyDescent="0.35">
      <c r="A15" t="s">
        <v>26</v>
      </c>
      <c r="B15" t="s">
        <v>526</v>
      </c>
      <c r="C15" t="s">
        <v>1013</v>
      </c>
      <c r="D15" t="s">
        <v>1020</v>
      </c>
      <c r="E15" s="6">
        <v>5596</v>
      </c>
      <c r="F15" s="6">
        <v>0</v>
      </c>
      <c r="G15" t="s">
        <v>1023</v>
      </c>
      <c r="H15" s="3">
        <v>45527</v>
      </c>
      <c r="I15" s="3">
        <v>45018</v>
      </c>
      <c r="J15" s="3">
        <v>45355</v>
      </c>
      <c r="K15" t="s">
        <v>1025</v>
      </c>
      <c r="L15">
        <v>32</v>
      </c>
      <c r="M15" s="6">
        <v>4179</v>
      </c>
      <c r="O15">
        <f t="shared" si="0"/>
        <v>0</v>
      </c>
      <c r="P15">
        <f t="shared" si="1"/>
        <v>337</v>
      </c>
      <c r="Q15">
        <f t="shared" ca="1" si="2"/>
        <v>436</v>
      </c>
      <c r="R15" t="str">
        <f t="shared" si="3"/>
        <v>Normal</v>
      </c>
      <c r="S15">
        <f t="shared" si="4"/>
        <v>0</v>
      </c>
    </row>
    <row r="16" spans="1:19" x14ac:dyDescent="0.35">
      <c r="A16" t="s">
        <v>27</v>
      </c>
      <c r="B16" t="s">
        <v>527</v>
      </c>
      <c r="C16" t="s">
        <v>1014</v>
      </c>
      <c r="D16" t="s">
        <v>1020</v>
      </c>
      <c r="E16" s="6">
        <v>8168</v>
      </c>
      <c r="F16" s="6">
        <v>0</v>
      </c>
      <c r="G16" t="s">
        <v>1023</v>
      </c>
      <c r="H16" s="3">
        <v>45515</v>
      </c>
      <c r="I16" s="3">
        <v>45273</v>
      </c>
      <c r="J16" s="3">
        <v>45525</v>
      </c>
      <c r="K16" t="s">
        <v>1025</v>
      </c>
      <c r="L16">
        <v>66</v>
      </c>
      <c r="M16" s="6">
        <v>13030</v>
      </c>
      <c r="O16">
        <f t="shared" si="0"/>
        <v>0</v>
      </c>
      <c r="P16">
        <f t="shared" si="1"/>
        <v>252</v>
      </c>
      <c r="Q16">
        <f t="shared" ca="1" si="2"/>
        <v>448</v>
      </c>
      <c r="R16" t="str">
        <f t="shared" si="3"/>
        <v>Normal</v>
      </c>
      <c r="S16">
        <f t="shared" si="4"/>
        <v>0</v>
      </c>
    </row>
    <row r="17" spans="1:19" x14ac:dyDescent="0.35">
      <c r="A17" t="s">
        <v>28</v>
      </c>
      <c r="B17" t="s">
        <v>528</v>
      </c>
      <c r="C17" t="s">
        <v>1015</v>
      </c>
      <c r="D17" t="s">
        <v>1018</v>
      </c>
      <c r="E17" s="6">
        <v>9561</v>
      </c>
      <c r="F17" s="6">
        <v>26886.02686213925</v>
      </c>
      <c r="G17" t="s">
        <v>1023</v>
      </c>
      <c r="H17" s="3">
        <v>45446</v>
      </c>
      <c r="I17" s="3">
        <v>45094</v>
      </c>
      <c r="J17" s="3">
        <v>45481</v>
      </c>
      <c r="K17" t="s">
        <v>1026</v>
      </c>
      <c r="L17">
        <v>50</v>
      </c>
      <c r="M17" s="6">
        <v>11065</v>
      </c>
      <c r="O17">
        <f t="shared" si="0"/>
        <v>2.8119999999999998</v>
      </c>
      <c r="P17">
        <f t="shared" si="1"/>
        <v>387</v>
      </c>
      <c r="Q17">
        <f t="shared" ca="1" si="2"/>
        <v>517</v>
      </c>
      <c r="R17" t="str">
        <f t="shared" si="3"/>
        <v>Normal</v>
      </c>
      <c r="S17">
        <f t="shared" si="4"/>
        <v>26886.02686213925</v>
      </c>
    </row>
    <row r="18" spans="1:19" x14ac:dyDescent="0.35">
      <c r="A18" t="s">
        <v>29</v>
      </c>
      <c r="B18" t="s">
        <v>529</v>
      </c>
      <c r="C18" t="s">
        <v>1014</v>
      </c>
      <c r="D18" t="s">
        <v>1018</v>
      </c>
      <c r="E18" s="6">
        <v>75794</v>
      </c>
      <c r="F18" s="6">
        <v>29960.40890167265</v>
      </c>
      <c r="G18" t="s">
        <v>1023</v>
      </c>
      <c r="H18" s="3">
        <v>45549</v>
      </c>
      <c r="I18" s="3">
        <v>45100</v>
      </c>
      <c r="J18" s="3">
        <v>45439</v>
      </c>
      <c r="K18" t="s">
        <v>1025</v>
      </c>
      <c r="L18">
        <v>53</v>
      </c>
      <c r="M18" s="6">
        <v>10275</v>
      </c>
      <c r="O18">
        <f t="shared" si="0"/>
        <v>0.39500000000000002</v>
      </c>
      <c r="P18">
        <f t="shared" si="1"/>
        <v>339</v>
      </c>
      <c r="Q18">
        <f t="shared" ca="1" si="2"/>
        <v>414</v>
      </c>
      <c r="R18" t="str">
        <f t="shared" si="3"/>
        <v>High</v>
      </c>
      <c r="S18">
        <f t="shared" si="4"/>
        <v>29960.40890167265</v>
      </c>
    </row>
    <row r="19" spans="1:19" x14ac:dyDescent="0.35">
      <c r="A19" t="s">
        <v>30</v>
      </c>
      <c r="B19" t="s">
        <v>530</v>
      </c>
      <c r="C19" t="s">
        <v>1014</v>
      </c>
      <c r="D19" t="s">
        <v>1018</v>
      </c>
      <c r="E19" s="6">
        <v>84152</v>
      </c>
      <c r="F19" s="6">
        <v>32029.450372575731</v>
      </c>
      <c r="G19" t="s">
        <v>1023</v>
      </c>
      <c r="H19" s="3">
        <v>45431</v>
      </c>
      <c r="I19" s="3">
        <v>44977</v>
      </c>
      <c r="J19" s="3">
        <v>45628</v>
      </c>
      <c r="K19" t="s">
        <v>1026</v>
      </c>
      <c r="L19">
        <v>58</v>
      </c>
      <c r="M19" s="6">
        <v>3422</v>
      </c>
      <c r="O19">
        <f t="shared" si="0"/>
        <v>0.38100000000000001</v>
      </c>
      <c r="P19">
        <f t="shared" si="1"/>
        <v>651</v>
      </c>
      <c r="Q19">
        <f t="shared" ca="1" si="2"/>
        <v>532</v>
      </c>
      <c r="R19" t="str">
        <f t="shared" si="3"/>
        <v>High</v>
      </c>
      <c r="S19">
        <f t="shared" si="4"/>
        <v>32029.450372575731</v>
      </c>
    </row>
    <row r="20" spans="1:19" x14ac:dyDescent="0.35">
      <c r="A20" t="s">
        <v>31</v>
      </c>
      <c r="B20" t="s">
        <v>531</v>
      </c>
      <c r="C20" t="s">
        <v>1014</v>
      </c>
      <c r="D20" t="s">
        <v>1019</v>
      </c>
      <c r="E20" s="6">
        <v>28734</v>
      </c>
      <c r="F20" s="6">
        <v>51919.326073931283</v>
      </c>
      <c r="G20" t="s">
        <v>1022</v>
      </c>
      <c r="H20" s="3">
        <v>45562</v>
      </c>
      <c r="I20" s="3">
        <v>45085</v>
      </c>
      <c r="J20" s="3">
        <v>45443</v>
      </c>
      <c r="K20" t="s">
        <v>1025</v>
      </c>
      <c r="L20">
        <v>22</v>
      </c>
      <c r="M20" s="6">
        <v>12867</v>
      </c>
      <c r="O20">
        <f t="shared" si="0"/>
        <v>1.8069999999999999</v>
      </c>
      <c r="P20">
        <f t="shared" si="1"/>
        <v>358</v>
      </c>
      <c r="Q20">
        <f t="shared" ca="1" si="2"/>
        <v>401</v>
      </c>
      <c r="R20" t="str">
        <f t="shared" si="3"/>
        <v>Normal</v>
      </c>
      <c r="S20">
        <f t="shared" si="4"/>
        <v>51919.326073931283</v>
      </c>
    </row>
    <row r="21" spans="1:19" x14ac:dyDescent="0.35">
      <c r="A21" t="s">
        <v>32</v>
      </c>
      <c r="B21" t="s">
        <v>532</v>
      </c>
      <c r="C21" t="s">
        <v>1013</v>
      </c>
      <c r="D21" t="s">
        <v>1017</v>
      </c>
      <c r="E21" s="6">
        <v>8371</v>
      </c>
      <c r="F21" s="6">
        <v>62562.256209692823</v>
      </c>
      <c r="G21" t="s">
        <v>1023</v>
      </c>
      <c r="H21" s="3">
        <v>45351</v>
      </c>
      <c r="I21" s="3">
        <v>45080</v>
      </c>
      <c r="J21" s="3">
        <v>45577</v>
      </c>
      <c r="K21" t="s">
        <v>1025</v>
      </c>
      <c r="L21">
        <v>27</v>
      </c>
      <c r="M21" s="6">
        <v>5180</v>
      </c>
      <c r="O21">
        <f t="shared" si="0"/>
        <v>7.4740000000000002</v>
      </c>
      <c r="P21">
        <f t="shared" si="1"/>
        <v>497</v>
      </c>
      <c r="Q21">
        <f t="shared" ca="1" si="2"/>
        <v>612</v>
      </c>
      <c r="R21" t="str">
        <f t="shared" si="3"/>
        <v>Normal</v>
      </c>
      <c r="S21">
        <f t="shared" si="4"/>
        <v>62562.256209692823</v>
      </c>
    </row>
    <row r="22" spans="1:19" x14ac:dyDescent="0.35">
      <c r="A22" t="s">
        <v>33</v>
      </c>
      <c r="B22" t="s">
        <v>533</v>
      </c>
      <c r="C22" t="s">
        <v>1016</v>
      </c>
      <c r="D22" t="s">
        <v>1020</v>
      </c>
      <c r="E22" s="6">
        <v>28069</v>
      </c>
      <c r="F22" s="6">
        <v>86236.863477042425</v>
      </c>
      <c r="G22" t="s">
        <v>1023</v>
      </c>
      <c r="H22" s="3">
        <v>45303</v>
      </c>
      <c r="I22" s="3">
        <v>45042</v>
      </c>
      <c r="J22" s="3">
        <v>45317</v>
      </c>
      <c r="K22" t="s">
        <v>1025</v>
      </c>
      <c r="L22">
        <v>42</v>
      </c>
      <c r="M22" s="6">
        <v>6316</v>
      </c>
      <c r="O22">
        <f t="shared" si="0"/>
        <v>3.0720000000000001</v>
      </c>
      <c r="P22">
        <f t="shared" si="1"/>
        <v>275</v>
      </c>
      <c r="Q22">
        <f t="shared" ca="1" si="2"/>
        <v>660</v>
      </c>
      <c r="R22" t="str">
        <f t="shared" si="3"/>
        <v>Normal</v>
      </c>
      <c r="S22">
        <f t="shared" si="4"/>
        <v>86236.863477042425</v>
      </c>
    </row>
    <row r="23" spans="1:19" x14ac:dyDescent="0.35">
      <c r="A23" t="s">
        <v>34</v>
      </c>
      <c r="B23" t="s">
        <v>534</v>
      </c>
      <c r="C23" t="s">
        <v>1015</v>
      </c>
      <c r="D23" t="s">
        <v>1020</v>
      </c>
      <c r="E23" s="6">
        <v>81905</v>
      </c>
      <c r="F23" s="6">
        <v>13424.89224514462</v>
      </c>
      <c r="G23" t="s">
        <v>1023</v>
      </c>
      <c r="H23" s="3">
        <v>45554</v>
      </c>
      <c r="I23" s="3">
        <v>45061</v>
      </c>
      <c r="J23" s="3">
        <v>45638</v>
      </c>
      <c r="K23" t="s">
        <v>1025</v>
      </c>
      <c r="L23">
        <v>33</v>
      </c>
      <c r="M23" s="6">
        <v>14167</v>
      </c>
      <c r="O23">
        <f t="shared" si="0"/>
        <v>0.16400000000000001</v>
      </c>
      <c r="P23">
        <f t="shared" si="1"/>
        <v>577</v>
      </c>
      <c r="Q23">
        <f t="shared" ca="1" si="2"/>
        <v>409</v>
      </c>
      <c r="R23" t="str">
        <f t="shared" si="3"/>
        <v>High</v>
      </c>
      <c r="S23">
        <f t="shared" si="4"/>
        <v>13424.89224514462</v>
      </c>
    </row>
    <row r="24" spans="1:19" x14ac:dyDescent="0.35">
      <c r="A24" t="s">
        <v>35</v>
      </c>
      <c r="B24" t="s">
        <v>535</v>
      </c>
      <c r="C24" t="s">
        <v>1016</v>
      </c>
      <c r="D24" t="s">
        <v>1019</v>
      </c>
      <c r="E24" s="6">
        <v>14910</v>
      </c>
      <c r="F24" s="6">
        <v>71247.993144491367</v>
      </c>
      <c r="G24" t="s">
        <v>1024</v>
      </c>
      <c r="H24" s="3">
        <v>45467</v>
      </c>
      <c r="I24" s="3">
        <v>44940</v>
      </c>
      <c r="J24" s="3">
        <v>45393</v>
      </c>
      <c r="K24" t="s">
        <v>1026</v>
      </c>
      <c r="L24">
        <v>46</v>
      </c>
      <c r="M24" s="6">
        <v>8696</v>
      </c>
      <c r="O24">
        <f t="shared" si="0"/>
        <v>4.7789999999999999</v>
      </c>
      <c r="P24">
        <f t="shared" si="1"/>
        <v>453</v>
      </c>
      <c r="Q24">
        <f t="shared" ca="1" si="2"/>
        <v>496</v>
      </c>
      <c r="R24" t="str">
        <f t="shared" si="3"/>
        <v>Normal</v>
      </c>
      <c r="S24">
        <f t="shared" si="4"/>
        <v>0</v>
      </c>
    </row>
    <row r="25" spans="1:19" x14ac:dyDescent="0.35">
      <c r="A25" t="s">
        <v>36</v>
      </c>
      <c r="B25" t="s">
        <v>536</v>
      </c>
      <c r="C25" t="s">
        <v>1014</v>
      </c>
      <c r="D25" t="s">
        <v>1020</v>
      </c>
      <c r="E25" s="6">
        <v>75479</v>
      </c>
      <c r="F25" s="6">
        <v>19859.093891249959</v>
      </c>
      <c r="G25" t="s">
        <v>1022</v>
      </c>
      <c r="H25" s="3">
        <v>45521</v>
      </c>
      <c r="I25" s="3">
        <v>45161</v>
      </c>
      <c r="J25" s="3">
        <v>45446</v>
      </c>
      <c r="K25" t="s">
        <v>1025</v>
      </c>
      <c r="L25">
        <v>48</v>
      </c>
      <c r="M25" s="6">
        <v>11583</v>
      </c>
      <c r="O25">
        <f t="shared" si="0"/>
        <v>0.26300000000000001</v>
      </c>
      <c r="P25">
        <f t="shared" si="1"/>
        <v>285</v>
      </c>
      <c r="Q25">
        <f t="shared" ca="1" si="2"/>
        <v>442</v>
      </c>
      <c r="R25" t="str">
        <f t="shared" si="3"/>
        <v>High</v>
      </c>
      <c r="S25">
        <f t="shared" si="4"/>
        <v>19859.093891249959</v>
      </c>
    </row>
    <row r="26" spans="1:19" x14ac:dyDescent="0.35">
      <c r="A26" t="s">
        <v>37</v>
      </c>
      <c r="B26" t="s">
        <v>537</v>
      </c>
      <c r="C26" t="s">
        <v>1014</v>
      </c>
      <c r="D26" t="s">
        <v>1018</v>
      </c>
      <c r="E26" s="6">
        <v>79735</v>
      </c>
      <c r="F26" s="6">
        <v>36379.148689301328</v>
      </c>
      <c r="G26" t="s">
        <v>1023</v>
      </c>
      <c r="H26" s="3">
        <v>45454</v>
      </c>
      <c r="I26" s="3">
        <v>45113</v>
      </c>
      <c r="J26" s="3">
        <v>45509</v>
      </c>
      <c r="K26" t="s">
        <v>1025</v>
      </c>
      <c r="L26">
        <v>58</v>
      </c>
      <c r="M26" s="6">
        <v>13410</v>
      </c>
      <c r="O26">
        <f t="shared" si="0"/>
        <v>0.45600000000000002</v>
      </c>
      <c r="P26">
        <f t="shared" si="1"/>
        <v>396</v>
      </c>
      <c r="Q26">
        <f t="shared" ca="1" si="2"/>
        <v>509</v>
      </c>
      <c r="R26" t="str">
        <f t="shared" si="3"/>
        <v>High</v>
      </c>
      <c r="S26">
        <f t="shared" si="4"/>
        <v>36379.148689301328</v>
      </c>
    </row>
    <row r="27" spans="1:19" x14ac:dyDescent="0.35">
      <c r="A27" t="s">
        <v>38</v>
      </c>
      <c r="B27" t="s">
        <v>538</v>
      </c>
      <c r="C27" t="s">
        <v>1016</v>
      </c>
      <c r="D27" t="s">
        <v>1017</v>
      </c>
      <c r="E27" s="6">
        <v>83264</v>
      </c>
      <c r="F27" s="6">
        <v>69615.931536335585</v>
      </c>
      <c r="G27" t="s">
        <v>1024</v>
      </c>
      <c r="H27" s="3">
        <v>45511</v>
      </c>
      <c r="I27" s="3">
        <v>45125</v>
      </c>
      <c r="J27" s="3">
        <v>45654</v>
      </c>
      <c r="K27" t="s">
        <v>1026</v>
      </c>
      <c r="L27">
        <v>58</v>
      </c>
      <c r="M27" s="6">
        <v>14399</v>
      </c>
      <c r="O27">
        <f t="shared" si="0"/>
        <v>0.83599999999999997</v>
      </c>
      <c r="P27">
        <f t="shared" si="1"/>
        <v>529</v>
      </c>
      <c r="Q27">
        <f t="shared" ca="1" si="2"/>
        <v>452</v>
      </c>
      <c r="R27" t="str">
        <f t="shared" si="3"/>
        <v>High</v>
      </c>
      <c r="S27">
        <f t="shared" si="4"/>
        <v>0</v>
      </c>
    </row>
    <row r="28" spans="1:19" x14ac:dyDescent="0.35">
      <c r="A28" t="s">
        <v>39</v>
      </c>
      <c r="B28" t="s">
        <v>539</v>
      </c>
      <c r="C28" t="s">
        <v>1016</v>
      </c>
      <c r="D28" t="s">
        <v>1021</v>
      </c>
      <c r="E28" s="6">
        <v>25275</v>
      </c>
      <c r="F28" s="6">
        <v>44872.619602473773</v>
      </c>
      <c r="G28" t="s">
        <v>1023</v>
      </c>
      <c r="H28" s="3">
        <v>45463</v>
      </c>
      <c r="I28" s="3">
        <v>45094</v>
      </c>
      <c r="J28" s="3">
        <v>45331</v>
      </c>
      <c r="K28" t="s">
        <v>1026</v>
      </c>
      <c r="L28">
        <v>20</v>
      </c>
      <c r="M28" s="6">
        <v>2614</v>
      </c>
      <c r="O28">
        <f t="shared" si="0"/>
        <v>1.7749999999999999</v>
      </c>
      <c r="P28">
        <f t="shared" si="1"/>
        <v>237</v>
      </c>
      <c r="Q28">
        <f t="shared" ca="1" si="2"/>
        <v>500</v>
      </c>
      <c r="R28" t="str">
        <f t="shared" si="3"/>
        <v>Normal</v>
      </c>
      <c r="S28">
        <f t="shared" si="4"/>
        <v>44872.619602473773</v>
      </c>
    </row>
    <row r="29" spans="1:19" x14ac:dyDescent="0.35">
      <c r="A29" t="s">
        <v>40</v>
      </c>
      <c r="B29" t="s">
        <v>540</v>
      </c>
      <c r="C29" t="s">
        <v>1016</v>
      </c>
      <c r="D29" t="s">
        <v>1020</v>
      </c>
      <c r="E29" s="6">
        <v>74274</v>
      </c>
      <c r="F29" s="6">
        <v>8138.5663967931787</v>
      </c>
      <c r="G29" t="s">
        <v>1023</v>
      </c>
      <c r="H29" s="3">
        <v>45444</v>
      </c>
      <c r="I29" s="3">
        <v>45053</v>
      </c>
      <c r="J29" s="3">
        <v>45653</v>
      </c>
      <c r="K29" t="s">
        <v>1025</v>
      </c>
      <c r="L29">
        <v>36</v>
      </c>
      <c r="M29" s="6">
        <v>13163</v>
      </c>
      <c r="O29">
        <f t="shared" si="0"/>
        <v>0.11</v>
      </c>
      <c r="P29">
        <f t="shared" si="1"/>
        <v>600</v>
      </c>
      <c r="Q29">
        <f t="shared" ca="1" si="2"/>
        <v>519</v>
      </c>
      <c r="R29" t="str">
        <f t="shared" si="3"/>
        <v>High</v>
      </c>
      <c r="S29">
        <f t="shared" si="4"/>
        <v>8138.5663967931787</v>
      </c>
    </row>
    <row r="30" spans="1:19" x14ac:dyDescent="0.35">
      <c r="A30" t="s">
        <v>41</v>
      </c>
      <c r="B30" t="s">
        <v>541</v>
      </c>
      <c r="C30" t="s">
        <v>1014</v>
      </c>
      <c r="D30" t="s">
        <v>1018</v>
      </c>
      <c r="E30" s="6">
        <v>83449</v>
      </c>
      <c r="F30" s="6">
        <v>21677.78252393557</v>
      </c>
      <c r="G30" t="s">
        <v>1022</v>
      </c>
      <c r="H30" s="3">
        <v>45343</v>
      </c>
      <c r="I30" s="3">
        <v>45166</v>
      </c>
      <c r="J30" s="3">
        <v>45654</v>
      </c>
      <c r="K30" t="s">
        <v>1026</v>
      </c>
      <c r="L30">
        <v>60</v>
      </c>
      <c r="M30" s="6">
        <v>13757</v>
      </c>
      <c r="O30">
        <f t="shared" si="0"/>
        <v>0.26</v>
      </c>
      <c r="P30">
        <f t="shared" si="1"/>
        <v>488</v>
      </c>
      <c r="Q30">
        <f t="shared" ca="1" si="2"/>
        <v>620</v>
      </c>
      <c r="R30" t="str">
        <f t="shared" si="3"/>
        <v>High</v>
      </c>
      <c r="S30">
        <f t="shared" si="4"/>
        <v>21677.78252393557</v>
      </c>
    </row>
    <row r="31" spans="1:19" x14ac:dyDescent="0.35">
      <c r="A31" t="s">
        <v>42</v>
      </c>
      <c r="B31" t="s">
        <v>542</v>
      </c>
      <c r="C31" t="s">
        <v>1014</v>
      </c>
      <c r="D31" t="s">
        <v>1021</v>
      </c>
      <c r="E31" s="6">
        <v>62004</v>
      </c>
      <c r="F31" s="6">
        <v>12080.48150340463</v>
      </c>
      <c r="G31" t="s">
        <v>1022</v>
      </c>
      <c r="H31" s="3">
        <v>45372</v>
      </c>
      <c r="I31" s="3">
        <v>45281</v>
      </c>
      <c r="J31" s="3">
        <v>45633</v>
      </c>
      <c r="K31" t="s">
        <v>1026</v>
      </c>
      <c r="L31">
        <v>49</v>
      </c>
      <c r="M31" s="6">
        <v>13768</v>
      </c>
      <c r="O31">
        <f t="shared" si="0"/>
        <v>0.19500000000000001</v>
      </c>
      <c r="P31">
        <f t="shared" si="1"/>
        <v>352</v>
      </c>
      <c r="Q31">
        <f t="shared" ca="1" si="2"/>
        <v>591</v>
      </c>
      <c r="R31" t="str">
        <f t="shared" si="3"/>
        <v>High</v>
      </c>
      <c r="S31">
        <f t="shared" si="4"/>
        <v>12080.48150340463</v>
      </c>
    </row>
    <row r="32" spans="1:19" x14ac:dyDescent="0.35">
      <c r="A32" t="s">
        <v>43</v>
      </c>
      <c r="B32" t="s">
        <v>543</v>
      </c>
      <c r="C32" t="s">
        <v>1015</v>
      </c>
      <c r="D32" t="s">
        <v>1017</v>
      </c>
      <c r="E32" s="6">
        <v>64981</v>
      </c>
      <c r="F32" s="6">
        <v>43107.760103193606</v>
      </c>
      <c r="G32" t="s">
        <v>1023</v>
      </c>
      <c r="H32" s="3">
        <v>45463</v>
      </c>
      <c r="I32" s="3">
        <v>45091</v>
      </c>
      <c r="J32" s="3">
        <v>45591</v>
      </c>
      <c r="K32" t="s">
        <v>1026</v>
      </c>
      <c r="L32">
        <v>32</v>
      </c>
      <c r="M32" s="6">
        <v>6570</v>
      </c>
      <c r="O32">
        <f t="shared" si="0"/>
        <v>0.66300000000000003</v>
      </c>
      <c r="P32">
        <f t="shared" si="1"/>
        <v>500</v>
      </c>
      <c r="Q32">
        <f t="shared" ca="1" si="2"/>
        <v>500</v>
      </c>
      <c r="R32" t="str">
        <f t="shared" si="3"/>
        <v>High</v>
      </c>
      <c r="S32">
        <f t="shared" si="4"/>
        <v>43107.760103193606</v>
      </c>
    </row>
    <row r="33" spans="1:19" x14ac:dyDescent="0.35">
      <c r="A33" t="s">
        <v>44</v>
      </c>
      <c r="B33" t="s">
        <v>544</v>
      </c>
      <c r="C33" t="s">
        <v>1015</v>
      </c>
      <c r="D33" t="s">
        <v>1021</v>
      </c>
      <c r="E33" s="6">
        <v>86659</v>
      </c>
      <c r="F33" s="6">
        <v>20398.60956370816</v>
      </c>
      <c r="G33" t="s">
        <v>1023</v>
      </c>
      <c r="H33" s="3">
        <v>45420</v>
      </c>
      <c r="I33" s="3">
        <v>45113</v>
      </c>
      <c r="J33" s="3">
        <v>45635</v>
      </c>
      <c r="K33" t="s">
        <v>1025</v>
      </c>
      <c r="L33">
        <v>40</v>
      </c>
      <c r="M33" s="6">
        <v>2270</v>
      </c>
      <c r="O33">
        <f t="shared" si="0"/>
        <v>0.23499999999999999</v>
      </c>
      <c r="P33">
        <f t="shared" si="1"/>
        <v>522</v>
      </c>
      <c r="Q33">
        <f t="shared" ca="1" si="2"/>
        <v>543</v>
      </c>
      <c r="R33" t="str">
        <f t="shared" si="3"/>
        <v>High</v>
      </c>
      <c r="S33">
        <f t="shared" si="4"/>
        <v>20398.60956370816</v>
      </c>
    </row>
    <row r="34" spans="1:19" x14ac:dyDescent="0.35">
      <c r="A34" t="s">
        <v>45</v>
      </c>
      <c r="B34" t="s">
        <v>545</v>
      </c>
      <c r="C34" t="s">
        <v>1014</v>
      </c>
      <c r="D34" t="s">
        <v>1018</v>
      </c>
      <c r="E34" s="6">
        <v>56553</v>
      </c>
      <c r="F34" s="6">
        <v>62925.559783550947</v>
      </c>
      <c r="G34" t="s">
        <v>1023</v>
      </c>
      <c r="H34" s="3">
        <v>45454</v>
      </c>
      <c r="I34" s="3">
        <v>45185</v>
      </c>
      <c r="J34" s="3">
        <v>45541</v>
      </c>
      <c r="K34" t="s">
        <v>1025</v>
      </c>
      <c r="L34">
        <v>38</v>
      </c>
      <c r="M34" s="6">
        <v>14258</v>
      </c>
      <c r="O34">
        <f t="shared" si="0"/>
        <v>1.113</v>
      </c>
      <c r="P34">
        <f t="shared" si="1"/>
        <v>356</v>
      </c>
      <c r="Q34">
        <f t="shared" ca="1" si="2"/>
        <v>509</v>
      </c>
      <c r="R34" t="str">
        <f t="shared" si="3"/>
        <v>High</v>
      </c>
      <c r="S34">
        <f t="shared" si="4"/>
        <v>62925.559783550947</v>
      </c>
    </row>
    <row r="35" spans="1:19" x14ac:dyDescent="0.35">
      <c r="A35" t="s">
        <v>46</v>
      </c>
      <c r="B35" t="s">
        <v>546</v>
      </c>
      <c r="C35" t="s">
        <v>1016</v>
      </c>
      <c r="D35" t="s">
        <v>1021</v>
      </c>
      <c r="E35" s="6">
        <v>50447</v>
      </c>
      <c r="F35" s="6">
        <v>0</v>
      </c>
      <c r="G35" t="s">
        <v>1024</v>
      </c>
      <c r="H35" s="3">
        <v>45535</v>
      </c>
      <c r="I35" s="3">
        <v>44994</v>
      </c>
      <c r="J35" s="3">
        <v>45612</v>
      </c>
      <c r="K35" t="s">
        <v>1025</v>
      </c>
      <c r="L35">
        <v>38</v>
      </c>
      <c r="M35" s="6">
        <v>4468</v>
      </c>
      <c r="O35">
        <f t="shared" si="0"/>
        <v>0</v>
      </c>
      <c r="P35">
        <f t="shared" si="1"/>
        <v>618</v>
      </c>
      <c r="Q35">
        <f t="shared" ca="1" si="2"/>
        <v>428</v>
      </c>
      <c r="R35" t="str">
        <f t="shared" si="3"/>
        <v>High</v>
      </c>
      <c r="S35">
        <f t="shared" si="4"/>
        <v>0</v>
      </c>
    </row>
    <row r="36" spans="1:19" x14ac:dyDescent="0.35">
      <c r="A36" t="s">
        <v>47</v>
      </c>
      <c r="B36" t="s">
        <v>547</v>
      </c>
      <c r="C36" t="s">
        <v>1016</v>
      </c>
      <c r="D36" t="s">
        <v>1019</v>
      </c>
      <c r="E36" s="6">
        <v>36529</v>
      </c>
      <c r="F36" s="6">
        <v>0</v>
      </c>
      <c r="G36" t="s">
        <v>1023</v>
      </c>
      <c r="H36" s="3">
        <v>45536</v>
      </c>
      <c r="I36" s="3">
        <v>45278</v>
      </c>
      <c r="J36" s="3">
        <v>45309</v>
      </c>
      <c r="K36" t="s">
        <v>1026</v>
      </c>
      <c r="L36">
        <v>44</v>
      </c>
      <c r="M36" s="6">
        <v>11582</v>
      </c>
      <c r="O36">
        <f t="shared" si="0"/>
        <v>0</v>
      </c>
      <c r="P36">
        <f t="shared" si="1"/>
        <v>31</v>
      </c>
      <c r="Q36">
        <f t="shared" ca="1" si="2"/>
        <v>427</v>
      </c>
      <c r="R36" t="str">
        <f t="shared" si="3"/>
        <v>Normal</v>
      </c>
      <c r="S36">
        <f t="shared" si="4"/>
        <v>0</v>
      </c>
    </row>
    <row r="37" spans="1:19" x14ac:dyDescent="0.35">
      <c r="A37" t="s">
        <v>48</v>
      </c>
      <c r="B37" t="s">
        <v>548</v>
      </c>
      <c r="C37" t="s">
        <v>1015</v>
      </c>
      <c r="D37" t="s">
        <v>1021</v>
      </c>
      <c r="E37" s="6">
        <v>77703</v>
      </c>
      <c r="F37" s="6">
        <v>2753.8925944103589</v>
      </c>
      <c r="G37" t="s">
        <v>1023</v>
      </c>
      <c r="H37" s="3">
        <v>45445</v>
      </c>
      <c r="I37" s="3">
        <v>44953</v>
      </c>
      <c r="J37" s="3">
        <v>45644</v>
      </c>
      <c r="K37" t="s">
        <v>1025</v>
      </c>
      <c r="L37">
        <v>41</v>
      </c>
      <c r="M37" s="6">
        <v>13546</v>
      </c>
      <c r="O37">
        <f t="shared" si="0"/>
        <v>3.5000000000000003E-2</v>
      </c>
      <c r="P37">
        <f t="shared" si="1"/>
        <v>691</v>
      </c>
      <c r="Q37">
        <f t="shared" ca="1" si="2"/>
        <v>518</v>
      </c>
      <c r="R37" t="str">
        <f t="shared" si="3"/>
        <v>High</v>
      </c>
      <c r="S37">
        <f t="shared" si="4"/>
        <v>2753.8925944103589</v>
      </c>
    </row>
    <row r="38" spans="1:19" x14ac:dyDescent="0.35">
      <c r="A38" t="s">
        <v>49</v>
      </c>
      <c r="B38" t="s">
        <v>549</v>
      </c>
      <c r="C38" t="s">
        <v>1014</v>
      </c>
      <c r="D38" t="s">
        <v>1020</v>
      </c>
      <c r="E38" s="6">
        <v>78090</v>
      </c>
      <c r="F38" s="6">
        <v>25765.577747857711</v>
      </c>
      <c r="G38" t="s">
        <v>1023</v>
      </c>
      <c r="H38" s="3">
        <v>45550</v>
      </c>
      <c r="I38" s="3">
        <v>45039</v>
      </c>
      <c r="J38" s="3">
        <v>45631</v>
      </c>
      <c r="K38" t="s">
        <v>1026</v>
      </c>
      <c r="L38">
        <v>50</v>
      </c>
      <c r="M38" s="6">
        <v>14327</v>
      </c>
      <c r="O38">
        <f t="shared" si="0"/>
        <v>0.33</v>
      </c>
      <c r="P38">
        <f t="shared" si="1"/>
        <v>592</v>
      </c>
      <c r="Q38">
        <f t="shared" ca="1" si="2"/>
        <v>413</v>
      </c>
      <c r="R38" t="str">
        <f t="shared" si="3"/>
        <v>High</v>
      </c>
      <c r="S38">
        <f t="shared" si="4"/>
        <v>25765.577747857711</v>
      </c>
    </row>
    <row r="39" spans="1:19" x14ac:dyDescent="0.35">
      <c r="A39" t="s">
        <v>50</v>
      </c>
      <c r="B39" t="s">
        <v>550</v>
      </c>
      <c r="C39" t="s">
        <v>1015</v>
      </c>
      <c r="D39" t="s">
        <v>1020</v>
      </c>
      <c r="E39" s="6">
        <v>19260</v>
      </c>
      <c r="F39" s="6">
        <v>61448.764448825234</v>
      </c>
      <c r="G39" t="s">
        <v>1023</v>
      </c>
      <c r="H39" s="3">
        <v>45586</v>
      </c>
      <c r="I39" s="3">
        <v>45260</v>
      </c>
      <c r="J39" s="3">
        <v>45543</v>
      </c>
      <c r="K39" t="s">
        <v>1025</v>
      </c>
      <c r="L39">
        <v>36</v>
      </c>
      <c r="M39" s="6">
        <v>5607</v>
      </c>
      <c r="O39">
        <f t="shared" si="0"/>
        <v>3.19</v>
      </c>
      <c r="P39">
        <f t="shared" si="1"/>
        <v>283</v>
      </c>
      <c r="Q39">
        <f t="shared" ca="1" si="2"/>
        <v>377</v>
      </c>
      <c r="R39" t="str">
        <f t="shared" si="3"/>
        <v>Normal</v>
      </c>
      <c r="S39">
        <f t="shared" si="4"/>
        <v>61448.764448825234</v>
      </c>
    </row>
    <row r="40" spans="1:19" x14ac:dyDescent="0.35">
      <c r="A40" t="s">
        <v>51</v>
      </c>
      <c r="B40" t="s">
        <v>551</v>
      </c>
      <c r="C40" t="s">
        <v>1015</v>
      </c>
      <c r="D40" t="s">
        <v>1019</v>
      </c>
      <c r="E40" s="6">
        <v>5812</v>
      </c>
      <c r="F40" s="6">
        <v>1350.7076881593091</v>
      </c>
      <c r="G40" t="s">
        <v>1023</v>
      </c>
      <c r="H40" s="3">
        <v>45542</v>
      </c>
      <c r="I40" s="3">
        <v>44957</v>
      </c>
      <c r="J40" s="3">
        <v>45533</v>
      </c>
      <c r="K40" t="s">
        <v>1025</v>
      </c>
      <c r="L40">
        <v>42</v>
      </c>
      <c r="M40" s="6">
        <v>12775</v>
      </c>
      <c r="O40">
        <f t="shared" si="0"/>
        <v>0.23200000000000001</v>
      </c>
      <c r="P40">
        <f t="shared" si="1"/>
        <v>576</v>
      </c>
      <c r="Q40">
        <f t="shared" ca="1" si="2"/>
        <v>421</v>
      </c>
      <c r="R40" t="str">
        <f t="shared" si="3"/>
        <v>Normal</v>
      </c>
      <c r="S40">
        <f t="shared" si="4"/>
        <v>1350.7076881593091</v>
      </c>
    </row>
    <row r="41" spans="1:19" x14ac:dyDescent="0.35">
      <c r="A41" t="s">
        <v>52</v>
      </c>
      <c r="B41" t="s">
        <v>552</v>
      </c>
      <c r="C41" t="s">
        <v>1013</v>
      </c>
      <c r="D41" t="s">
        <v>1018</v>
      </c>
      <c r="E41" s="6">
        <v>30024</v>
      </c>
      <c r="F41" s="6">
        <v>54951.086779542587</v>
      </c>
      <c r="G41" t="s">
        <v>1024</v>
      </c>
      <c r="H41" s="3">
        <v>45553</v>
      </c>
      <c r="I41" s="3">
        <v>45180</v>
      </c>
      <c r="J41" s="3">
        <v>45489</v>
      </c>
      <c r="K41" t="s">
        <v>1026</v>
      </c>
      <c r="L41">
        <v>51</v>
      </c>
      <c r="M41" s="6">
        <v>14265</v>
      </c>
      <c r="O41">
        <f t="shared" si="0"/>
        <v>1.83</v>
      </c>
      <c r="P41">
        <f t="shared" si="1"/>
        <v>309</v>
      </c>
      <c r="Q41">
        <f t="shared" ca="1" si="2"/>
        <v>410</v>
      </c>
      <c r="R41" t="str">
        <f t="shared" si="3"/>
        <v>Normal</v>
      </c>
      <c r="S41">
        <f t="shared" si="4"/>
        <v>0</v>
      </c>
    </row>
    <row r="42" spans="1:19" x14ac:dyDescent="0.35">
      <c r="A42" t="s">
        <v>53</v>
      </c>
      <c r="B42" t="s">
        <v>553</v>
      </c>
      <c r="C42" t="s">
        <v>1013</v>
      </c>
      <c r="D42" t="s">
        <v>1020</v>
      </c>
      <c r="E42" s="6">
        <v>60656</v>
      </c>
      <c r="F42" s="6">
        <v>7724.1856270201579</v>
      </c>
      <c r="G42" t="s">
        <v>1023</v>
      </c>
      <c r="H42" s="3">
        <v>45538</v>
      </c>
      <c r="I42" s="3">
        <v>45272</v>
      </c>
      <c r="J42" s="3">
        <v>45399</v>
      </c>
      <c r="K42" t="s">
        <v>1025</v>
      </c>
      <c r="L42">
        <v>29</v>
      </c>
      <c r="M42" s="6">
        <v>5075</v>
      </c>
      <c r="O42">
        <f t="shared" si="0"/>
        <v>0.127</v>
      </c>
      <c r="P42">
        <f t="shared" si="1"/>
        <v>127</v>
      </c>
      <c r="Q42">
        <f t="shared" ca="1" si="2"/>
        <v>425</v>
      </c>
      <c r="R42" t="str">
        <f t="shared" si="3"/>
        <v>High</v>
      </c>
      <c r="S42">
        <f t="shared" si="4"/>
        <v>7724.1856270201579</v>
      </c>
    </row>
    <row r="43" spans="1:19" x14ac:dyDescent="0.35">
      <c r="A43" t="s">
        <v>54</v>
      </c>
      <c r="B43" t="s">
        <v>554</v>
      </c>
      <c r="C43" t="s">
        <v>1013</v>
      </c>
      <c r="D43" t="s">
        <v>1017</v>
      </c>
      <c r="E43" s="6">
        <v>29285</v>
      </c>
      <c r="F43" s="6">
        <v>37867.541872948073</v>
      </c>
      <c r="G43" t="s">
        <v>1023</v>
      </c>
      <c r="H43" s="3">
        <v>45505</v>
      </c>
      <c r="I43" s="3">
        <v>45236</v>
      </c>
      <c r="J43" s="3">
        <v>45521</v>
      </c>
      <c r="K43" t="s">
        <v>1026</v>
      </c>
      <c r="L43">
        <v>29</v>
      </c>
      <c r="M43" s="6">
        <v>14098</v>
      </c>
      <c r="O43">
        <f t="shared" si="0"/>
        <v>1.2929999999999999</v>
      </c>
      <c r="P43">
        <f t="shared" si="1"/>
        <v>285</v>
      </c>
      <c r="Q43">
        <f t="shared" ca="1" si="2"/>
        <v>458</v>
      </c>
      <c r="R43" t="str">
        <f t="shared" si="3"/>
        <v>Normal</v>
      </c>
      <c r="S43">
        <f t="shared" si="4"/>
        <v>37867.541872948073</v>
      </c>
    </row>
    <row r="44" spans="1:19" x14ac:dyDescent="0.35">
      <c r="A44" t="s">
        <v>55</v>
      </c>
      <c r="B44" t="s">
        <v>555</v>
      </c>
      <c r="C44" t="s">
        <v>1016</v>
      </c>
      <c r="D44" t="s">
        <v>1020</v>
      </c>
      <c r="E44" s="6">
        <v>94436</v>
      </c>
      <c r="F44" s="6">
        <v>8782.4501278935477</v>
      </c>
      <c r="G44" t="s">
        <v>1023</v>
      </c>
      <c r="H44" s="3">
        <v>45346</v>
      </c>
      <c r="I44" s="3">
        <v>45276</v>
      </c>
      <c r="J44" s="3">
        <v>45621</v>
      </c>
      <c r="K44" t="s">
        <v>1026</v>
      </c>
      <c r="L44">
        <v>55</v>
      </c>
      <c r="M44" s="6">
        <v>2289</v>
      </c>
      <c r="O44">
        <f t="shared" si="0"/>
        <v>9.2999999999999999E-2</v>
      </c>
      <c r="P44">
        <f t="shared" si="1"/>
        <v>345</v>
      </c>
      <c r="Q44">
        <f t="shared" ca="1" si="2"/>
        <v>617</v>
      </c>
      <c r="R44" t="str">
        <f t="shared" si="3"/>
        <v>High</v>
      </c>
      <c r="S44">
        <f t="shared" si="4"/>
        <v>8782.4501278935477</v>
      </c>
    </row>
    <row r="45" spans="1:19" x14ac:dyDescent="0.35">
      <c r="A45" t="s">
        <v>56</v>
      </c>
      <c r="B45" t="s">
        <v>556</v>
      </c>
      <c r="C45" t="s">
        <v>1014</v>
      </c>
      <c r="D45" t="s">
        <v>1020</v>
      </c>
      <c r="E45" s="6">
        <v>3605</v>
      </c>
      <c r="F45" s="6">
        <v>3642.5619857235661</v>
      </c>
      <c r="G45" t="s">
        <v>1022</v>
      </c>
      <c r="H45" s="3">
        <v>45498</v>
      </c>
      <c r="I45" s="3">
        <v>44998</v>
      </c>
      <c r="J45" s="3">
        <v>45578</v>
      </c>
      <c r="K45" t="s">
        <v>1025</v>
      </c>
      <c r="L45">
        <v>27</v>
      </c>
      <c r="M45" s="6">
        <v>10120</v>
      </c>
      <c r="O45">
        <f t="shared" si="0"/>
        <v>1.01</v>
      </c>
      <c r="P45">
        <f t="shared" si="1"/>
        <v>580</v>
      </c>
      <c r="Q45">
        <f t="shared" ca="1" si="2"/>
        <v>465</v>
      </c>
      <c r="R45" t="str">
        <f t="shared" si="3"/>
        <v>Normal</v>
      </c>
      <c r="S45">
        <f t="shared" si="4"/>
        <v>3642.5619857235661</v>
      </c>
    </row>
    <row r="46" spans="1:19" x14ac:dyDescent="0.35">
      <c r="A46" t="s">
        <v>57</v>
      </c>
      <c r="B46" t="s">
        <v>557</v>
      </c>
      <c r="C46" t="s">
        <v>1014</v>
      </c>
      <c r="D46" t="s">
        <v>1018</v>
      </c>
      <c r="E46" s="6">
        <v>73158</v>
      </c>
      <c r="F46" s="6">
        <v>0</v>
      </c>
      <c r="G46" t="s">
        <v>1023</v>
      </c>
      <c r="H46" s="3">
        <v>45335</v>
      </c>
      <c r="I46" s="3">
        <v>45225</v>
      </c>
      <c r="J46" s="3">
        <v>45505</v>
      </c>
      <c r="K46" t="s">
        <v>1026</v>
      </c>
      <c r="L46">
        <v>39</v>
      </c>
      <c r="M46" s="6">
        <v>12672</v>
      </c>
      <c r="O46">
        <f t="shared" si="0"/>
        <v>0</v>
      </c>
      <c r="P46">
        <f t="shared" si="1"/>
        <v>280</v>
      </c>
      <c r="Q46">
        <f t="shared" ca="1" si="2"/>
        <v>628</v>
      </c>
      <c r="R46" t="str">
        <f t="shared" si="3"/>
        <v>High</v>
      </c>
      <c r="S46">
        <f t="shared" si="4"/>
        <v>0</v>
      </c>
    </row>
    <row r="47" spans="1:19" x14ac:dyDescent="0.35">
      <c r="A47" t="s">
        <v>58</v>
      </c>
      <c r="B47" t="s">
        <v>558</v>
      </c>
      <c r="C47" t="s">
        <v>1014</v>
      </c>
      <c r="D47" t="s">
        <v>1021</v>
      </c>
      <c r="E47" s="6">
        <v>74303</v>
      </c>
      <c r="F47" s="6">
        <v>63693.563435641932</v>
      </c>
      <c r="G47" t="s">
        <v>1023</v>
      </c>
      <c r="H47" s="3">
        <v>45545</v>
      </c>
      <c r="I47" s="3">
        <v>45284</v>
      </c>
      <c r="J47" s="3">
        <v>45444</v>
      </c>
      <c r="K47" t="s">
        <v>1025</v>
      </c>
      <c r="L47">
        <v>51</v>
      </c>
      <c r="M47" s="6">
        <v>8614</v>
      </c>
      <c r="O47">
        <f t="shared" si="0"/>
        <v>0.85699999999999998</v>
      </c>
      <c r="P47">
        <f t="shared" si="1"/>
        <v>160</v>
      </c>
      <c r="Q47">
        <f t="shared" ca="1" si="2"/>
        <v>418</v>
      </c>
      <c r="R47" t="str">
        <f t="shared" si="3"/>
        <v>High</v>
      </c>
      <c r="S47">
        <f t="shared" si="4"/>
        <v>63693.563435641932</v>
      </c>
    </row>
    <row r="48" spans="1:19" x14ac:dyDescent="0.35">
      <c r="A48" t="s">
        <v>59</v>
      </c>
      <c r="B48" t="s">
        <v>559</v>
      </c>
      <c r="C48" t="s">
        <v>1014</v>
      </c>
      <c r="D48" t="s">
        <v>1020</v>
      </c>
      <c r="E48" s="6">
        <v>29139</v>
      </c>
      <c r="F48" s="6">
        <v>52394.434834778949</v>
      </c>
      <c r="G48" t="s">
        <v>1022</v>
      </c>
      <c r="H48" s="3">
        <v>45392</v>
      </c>
      <c r="I48" s="3">
        <v>45142</v>
      </c>
      <c r="J48" s="3">
        <v>45570</v>
      </c>
      <c r="K48" t="s">
        <v>1025</v>
      </c>
      <c r="L48">
        <v>69</v>
      </c>
      <c r="M48" s="6">
        <v>5252</v>
      </c>
      <c r="O48">
        <f t="shared" si="0"/>
        <v>1.798</v>
      </c>
      <c r="P48">
        <f t="shared" si="1"/>
        <v>428</v>
      </c>
      <c r="Q48">
        <f t="shared" ca="1" si="2"/>
        <v>571</v>
      </c>
      <c r="R48" t="str">
        <f t="shared" si="3"/>
        <v>Normal</v>
      </c>
      <c r="S48">
        <f t="shared" si="4"/>
        <v>52394.434834778949</v>
      </c>
    </row>
    <row r="49" spans="1:19" x14ac:dyDescent="0.35">
      <c r="A49" t="s">
        <v>60</v>
      </c>
      <c r="B49" t="s">
        <v>560</v>
      </c>
      <c r="C49" t="s">
        <v>1013</v>
      </c>
      <c r="D49" t="s">
        <v>1019</v>
      </c>
      <c r="E49" s="6">
        <v>79149</v>
      </c>
      <c r="F49" s="6">
        <v>72536.031600399365</v>
      </c>
      <c r="G49" t="s">
        <v>1022</v>
      </c>
      <c r="H49" s="3">
        <v>45410</v>
      </c>
      <c r="I49" s="3">
        <v>45192</v>
      </c>
      <c r="J49" s="3">
        <v>45455</v>
      </c>
      <c r="K49" t="s">
        <v>1026</v>
      </c>
      <c r="L49">
        <v>33</v>
      </c>
      <c r="M49" s="6">
        <v>9415</v>
      </c>
      <c r="O49">
        <f t="shared" si="0"/>
        <v>0.91600000000000004</v>
      </c>
      <c r="P49">
        <f t="shared" si="1"/>
        <v>263</v>
      </c>
      <c r="Q49">
        <f t="shared" ca="1" si="2"/>
        <v>553</v>
      </c>
      <c r="R49" t="str">
        <f t="shared" si="3"/>
        <v>High</v>
      </c>
      <c r="S49">
        <f t="shared" si="4"/>
        <v>72536.031600399365</v>
      </c>
    </row>
    <row r="50" spans="1:19" x14ac:dyDescent="0.35">
      <c r="A50" t="s">
        <v>61</v>
      </c>
      <c r="B50" t="s">
        <v>561</v>
      </c>
      <c r="C50" t="s">
        <v>1016</v>
      </c>
      <c r="D50" t="s">
        <v>1021</v>
      </c>
      <c r="E50" s="6">
        <v>58138</v>
      </c>
      <c r="F50" s="6">
        <v>15374.047137104981</v>
      </c>
      <c r="G50" t="s">
        <v>1022</v>
      </c>
      <c r="H50" s="3">
        <v>45502</v>
      </c>
      <c r="I50" s="3">
        <v>45220</v>
      </c>
      <c r="J50" s="3">
        <v>45419</v>
      </c>
      <c r="K50" t="s">
        <v>1025</v>
      </c>
      <c r="L50">
        <v>69</v>
      </c>
      <c r="M50" s="6">
        <v>8771</v>
      </c>
      <c r="O50">
        <f t="shared" si="0"/>
        <v>0.26400000000000001</v>
      </c>
      <c r="P50">
        <f t="shared" si="1"/>
        <v>199</v>
      </c>
      <c r="Q50">
        <f t="shared" ca="1" si="2"/>
        <v>461</v>
      </c>
      <c r="R50" t="str">
        <f t="shared" si="3"/>
        <v>High</v>
      </c>
      <c r="S50">
        <f t="shared" si="4"/>
        <v>15374.047137104981</v>
      </c>
    </row>
    <row r="51" spans="1:19" x14ac:dyDescent="0.35">
      <c r="A51" t="s">
        <v>62</v>
      </c>
      <c r="B51" t="s">
        <v>562</v>
      </c>
      <c r="C51" t="s">
        <v>1016</v>
      </c>
      <c r="D51" t="s">
        <v>1017</v>
      </c>
      <c r="E51" s="6">
        <v>78125</v>
      </c>
      <c r="F51" s="6">
        <v>32626.51386592722</v>
      </c>
      <c r="G51" t="s">
        <v>1024</v>
      </c>
      <c r="H51" s="3">
        <v>45495</v>
      </c>
      <c r="I51" s="3">
        <v>45177</v>
      </c>
      <c r="J51" s="3">
        <v>45496</v>
      </c>
      <c r="K51" t="s">
        <v>1026</v>
      </c>
      <c r="L51">
        <v>47</v>
      </c>
      <c r="M51" s="6">
        <v>2278</v>
      </c>
      <c r="O51">
        <f t="shared" si="0"/>
        <v>0.41799999999999998</v>
      </c>
      <c r="P51">
        <f t="shared" si="1"/>
        <v>319</v>
      </c>
      <c r="Q51">
        <f t="shared" ca="1" si="2"/>
        <v>468</v>
      </c>
      <c r="R51" t="str">
        <f t="shared" si="3"/>
        <v>High</v>
      </c>
      <c r="S51">
        <f t="shared" si="4"/>
        <v>0</v>
      </c>
    </row>
    <row r="52" spans="1:19" x14ac:dyDescent="0.35">
      <c r="A52" t="s">
        <v>63</v>
      </c>
      <c r="B52" t="s">
        <v>563</v>
      </c>
      <c r="C52" t="s">
        <v>1013</v>
      </c>
      <c r="D52" t="s">
        <v>1018</v>
      </c>
      <c r="E52" s="6">
        <v>15918</v>
      </c>
      <c r="F52" s="6">
        <v>33980.034354341922</v>
      </c>
      <c r="G52" t="s">
        <v>1023</v>
      </c>
      <c r="H52" s="3">
        <v>45292</v>
      </c>
      <c r="I52" s="3">
        <v>45141</v>
      </c>
      <c r="J52" s="3">
        <v>45419</v>
      </c>
      <c r="K52" t="s">
        <v>1025</v>
      </c>
      <c r="L52">
        <v>65</v>
      </c>
      <c r="M52" s="6">
        <v>13116</v>
      </c>
      <c r="O52">
        <f t="shared" si="0"/>
        <v>2.1349999999999998</v>
      </c>
      <c r="P52">
        <f t="shared" si="1"/>
        <v>278</v>
      </c>
      <c r="Q52">
        <f t="shared" ca="1" si="2"/>
        <v>671</v>
      </c>
      <c r="R52" t="str">
        <f t="shared" si="3"/>
        <v>Normal</v>
      </c>
      <c r="S52">
        <f t="shared" si="4"/>
        <v>33980.034354341922</v>
      </c>
    </row>
    <row r="53" spans="1:19" x14ac:dyDescent="0.35">
      <c r="A53" t="s">
        <v>64</v>
      </c>
      <c r="B53" t="s">
        <v>564</v>
      </c>
      <c r="C53" t="s">
        <v>1016</v>
      </c>
      <c r="D53" t="s">
        <v>1017</v>
      </c>
      <c r="E53" s="6">
        <v>87655</v>
      </c>
      <c r="F53" s="6">
        <v>68093.221768322997</v>
      </c>
      <c r="G53" t="s">
        <v>1022</v>
      </c>
      <c r="H53" s="3">
        <v>45308</v>
      </c>
      <c r="I53" s="3">
        <v>45119</v>
      </c>
      <c r="J53" s="3">
        <v>45657</v>
      </c>
      <c r="K53" t="s">
        <v>1025</v>
      </c>
      <c r="L53">
        <v>43</v>
      </c>
      <c r="M53" s="6">
        <v>2580</v>
      </c>
      <c r="O53">
        <f t="shared" si="0"/>
        <v>0.77700000000000002</v>
      </c>
      <c r="P53">
        <f t="shared" si="1"/>
        <v>538</v>
      </c>
      <c r="Q53">
        <f t="shared" ca="1" si="2"/>
        <v>655</v>
      </c>
      <c r="R53" t="str">
        <f t="shared" si="3"/>
        <v>High</v>
      </c>
      <c r="S53">
        <f t="shared" si="4"/>
        <v>68093.221768322997</v>
      </c>
    </row>
    <row r="54" spans="1:19" x14ac:dyDescent="0.35">
      <c r="A54" t="s">
        <v>65</v>
      </c>
      <c r="B54" t="s">
        <v>565</v>
      </c>
      <c r="C54" t="s">
        <v>1013</v>
      </c>
      <c r="D54" t="s">
        <v>1021</v>
      </c>
      <c r="E54" s="6">
        <v>29446</v>
      </c>
      <c r="F54" s="6">
        <v>74057.829710023419</v>
      </c>
      <c r="G54" t="s">
        <v>1023</v>
      </c>
      <c r="H54" s="3">
        <v>45319</v>
      </c>
      <c r="I54" s="3">
        <v>45281</v>
      </c>
      <c r="J54" s="3">
        <v>45399</v>
      </c>
      <c r="K54" t="s">
        <v>1025</v>
      </c>
      <c r="L54">
        <v>34</v>
      </c>
      <c r="M54" s="6">
        <v>6958</v>
      </c>
      <c r="O54">
        <f t="shared" si="0"/>
        <v>2.5150000000000001</v>
      </c>
      <c r="P54">
        <f t="shared" si="1"/>
        <v>118</v>
      </c>
      <c r="Q54">
        <f t="shared" ca="1" si="2"/>
        <v>644</v>
      </c>
      <c r="R54" t="str">
        <f t="shared" si="3"/>
        <v>Normal</v>
      </c>
      <c r="S54">
        <f t="shared" si="4"/>
        <v>74057.829710023419</v>
      </c>
    </row>
    <row r="55" spans="1:19" x14ac:dyDescent="0.35">
      <c r="A55" t="s">
        <v>66</v>
      </c>
      <c r="B55" t="s">
        <v>566</v>
      </c>
      <c r="C55" t="s">
        <v>1014</v>
      </c>
      <c r="D55" t="s">
        <v>1021</v>
      </c>
      <c r="E55" s="6">
        <v>15046</v>
      </c>
      <c r="F55" s="6">
        <v>24516.46053093678</v>
      </c>
      <c r="G55" t="s">
        <v>1022</v>
      </c>
      <c r="H55" s="3">
        <v>45524</v>
      </c>
      <c r="I55" s="3">
        <v>45018</v>
      </c>
      <c r="J55" s="3">
        <v>45333</v>
      </c>
      <c r="K55" t="s">
        <v>1025</v>
      </c>
      <c r="L55">
        <v>41</v>
      </c>
      <c r="M55" s="6">
        <v>10445</v>
      </c>
      <c r="O55">
        <f t="shared" si="0"/>
        <v>1.629</v>
      </c>
      <c r="P55">
        <f t="shared" si="1"/>
        <v>315</v>
      </c>
      <c r="Q55">
        <f t="shared" ca="1" si="2"/>
        <v>439</v>
      </c>
      <c r="R55" t="str">
        <f t="shared" si="3"/>
        <v>Normal</v>
      </c>
      <c r="S55">
        <f t="shared" si="4"/>
        <v>24516.46053093678</v>
      </c>
    </row>
    <row r="56" spans="1:19" x14ac:dyDescent="0.35">
      <c r="A56" t="s">
        <v>67</v>
      </c>
      <c r="B56" t="s">
        <v>567</v>
      </c>
      <c r="C56" t="s">
        <v>1013</v>
      </c>
      <c r="D56" t="s">
        <v>1021</v>
      </c>
      <c r="E56" s="6">
        <v>26818</v>
      </c>
      <c r="F56" s="6">
        <v>20453.115270563751</v>
      </c>
      <c r="G56" t="s">
        <v>1022</v>
      </c>
      <c r="H56" s="3">
        <v>45347</v>
      </c>
      <c r="I56" s="3">
        <v>45113</v>
      </c>
      <c r="J56" s="3">
        <v>45579</v>
      </c>
      <c r="K56" t="s">
        <v>1025</v>
      </c>
      <c r="L56">
        <v>49</v>
      </c>
      <c r="M56" s="6">
        <v>6276</v>
      </c>
      <c r="O56">
        <f t="shared" si="0"/>
        <v>0.76300000000000001</v>
      </c>
      <c r="P56">
        <f t="shared" si="1"/>
        <v>466</v>
      </c>
      <c r="Q56">
        <f t="shared" ca="1" si="2"/>
        <v>616</v>
      </c>
      <c r="R56" t="str">
        <f t="shared" si="3"/>
        <v>Normal</v>
      </c>
      <c r="S56">
        <f t="shared" si="4"/>
        <v>20453.115270563751</v>
      </c>
    </row>
    <row r="57" spans="1:19" x14ac:dyDescent="0.35">
      <c r="A57" t="s">
        <v>68</v>
      </c>
      <c r="B57" t="s">
        <v>568</v>
      </c>
      <c r="C57" t="s">
        <v>1014</v>
      </c>
      <c r="D57" t="s">
        <v>1017</v>
      </c>
      <c r="E57" s="6">
        <v>6324</v>
      </c>
      <c r="F57" s="6">
        <v>29266.06653001461</v>
      </c>
      <c r="G57" t="s">
        <v>1022</v>
      </c>
      <c r="H57" s="3">
        <v>45532</v>
      </c>
      <c r="I57" s="3">
        <v>44979</v>
      </c>
      <c r="J57" s="3">
        <v>45400</v>
      </c>
      <c r="K57" t="s">
        <v>1026</v>
      </c>
      <c r="L57">
        <v>23</v>
      </c>
      <c r="M57" s="6">
        <v>9997</v>
      </c>
      <c r="O57">
        <f t="shared" si="0"/>
        <v>4.6280000000000001</v>
      </c>
      <c r="P57">
        <f t="shared" si="1"/>
        <v>421</v>
      </c>
      <c r="Q57">
        <f t="shared" ca="1" si="2"/>
        <v>431</v>
      </c>
      <c r="R57" t="str">
        <f t="shared" si="3"/>
        <v>Normal</v>
      </c>
      <c r="S57">
        <f t="shared" si="4"/>
        <v>29266.06653001461</v>
      </c>
    </row>
    <row r="58" spans="1:19" x14ac:dyDescent="0.35">
      <c r="A58" t="s">
        <v>69</v>
      </c>
      <c r="B58" t="s">
        <v>569</v>
      </c>
      <c r="C58" t="s">
        <v>1014</v>
      </c>
      <c r="D58" t="s">
        <v>1021</v>
      </c>
      <c r="E58" s="6">
        <v>78323</v>
      </c>
      <c r="F58" s="6">
        <v>45978.046376547682</v>
      </c>
      <c r="G58" t="s">
        <v>1023</v>
      </c>
      <c r="H58" s="3">
        <v>45574</v>
      </c>
      <c r="I58" s="3">
        <v>44954</v>
      </c>
      <c r="J58" s="3">
        <v>45318</v>
      </c>
      <c r="K58" t="s">
        <v>1026</v>
      </c>
      <c r="L58">
        <v>32</v>
      </c>
      <c r="M58" s="6">
        <v>6776</v>
      </c>
      <c r="O58">
        <f t="shared" si="0"/>
        <v>0.58699999999999997</v>
      </c>
      <c r="P58">
        <f t="shared" si="1"/>
        <v>364</v>
      </c>
      <c r="Q58">
        <f t="shared" ca="1" si="2"/>
        <v>389</v>
      </c>
      <c r="R58" t="str">
        <f t="shared" si="3"/>
        <v>High</v>
      </c>
      <c r="S58">
        <f t="shared" si="4"/>
        <v>45978.046376547682</v>
      </c>
    </row>
    <row r="59" spans="1:19" x14ac:dyDescent="0.35">
      <c r="A59" t="s">
        <v>70</v>
      </c>
      <c r="B59" t="s">
        <v>570</v>
      </c>
      <c r="C59" t="s">
        <v>1015</v>
      </c>
      <c r="D59" t="s">
        <v>1017</v>
      </c>
      <c r="E59" s="6">
        <v>11111</v>
      </c>
      <c r="F59" s="6">
        <v>13063.39837047861</v>
      </c>
      <c r="G59" t="s">
        <v>1023</v>
      </c>
      <c r="H59" s="3">
        <v>45399</v>
      </c>
      <c r="I59" s="3">
        <v>44980</v>
      </c>
      <c r="J59" s="3">
        <v>45590</v>
      </c>
      <c r="K59" t="s">
        <v>1026</v>
      </c>
      <c r="L59">
        <v>42</v>
      </c>
      <c r="M59" s="6">
        <v>2824</v>
      </c>
      <c r="O59">
        <f t="shared" si="0"/>
        <v>1.1759999999999999</v>
      </c>
      <c r="P59">
        <f t="shared" si="1"/>
        <v>610</v>
      </c>
      <c r="Q59">
        <f t="shared" ca="1" si="2"/>
        <v>564</v>
      </c>
      <c r="R59" t="str">
        <f t="shared" si="3"/>
        <v>Normal</v>
      </c>
      <c r="S59">
        <f t="shared" si="4"/>
        <v>13063.39837047861</v>
      </c>
    </row>
    <row r="60" spans="1:19" x14ac:dyDescent="0.35">
      <c r="A60" t="s">
        <v>71</v>
      </c>
      <c r="B60" t="s">
        <v>571</v>
      </c>
      <c r="C60" t="s">
        <v>1013</v>
      </c>
      <c r="D60" t="s">
        <v>1021</v>
      </c>
      <c r="E60" s="6">
        <v>40110</v>
      </c>
      <c r="F60" s="6">
        <v>80268.353869665458</v>
      </c>
      <c r="G60" t="s">
        <v>1023</v>
      </c>
      <c r="H60" s="3">
        <v>45318</v>
      </c>
      <c r="I60" s="3">
        <v>45184</v>
      </c>
      <c r="J60" s="3">
        <v>45417</v>
      </c>
      <c r="K60" t="s">
        <v>1026</v>
      </c>
      <c r="L60">
        <v>27</v>
      </c>
      <c r="M60" s="6">
        <v>5832</v>
      </c>
      <c r="O60">
        <f t="shared" si="0"/>
        <v>2.0009999999999999</v>
      </c>
      <c r="P60">
        <f t="shared" si="1"/>
        <v>233</v>
      </c>
      <c r="Q60">
        <f t="shared" ca="1" si="2"/>
        <v>645</v>
      </c>
      <c r="R60" t="str">
        <f t="shared" si="3"/>
        <v>Normal</v>
      </c>
      <c r="S60">
        <f t="shared" si="4"/>
        <v>80268.353869665458</v>
      </c>
    </row>
    <row r="61" spans="1:19" x14ac:dyDescent="0.35">
      <c r="A61" t="s">
        <v>72</v>
      </c>
      <c r="B61" t="s">
        <v>572</v>
      </c>
      <c r="C61" t="s">
        <v>1015</v>
      </c>
      <c r="D61" t="s">
        <v>1019</v>
      </c>
      <c r="E61" s="6">
        <v>18389</v>
      </c>
      <c r="F61" s="6">
        <v>43957.841710864268</v>
      </c>
      <c r="G61" t="s">
        <v>1024</v>
      </c>
      <c r="H61" s="3">
        <v>45518</v>
      </c>
      <c r="I61" s="3">
        <v>45131</v>
      </c>
      <c r="J61" s="3">
        <v>45552</v>
      </c>
      <c r="K61" t="s">
        <v>1026</v>
      </c>
      <c r="L61">
        <v>37</v>
      </c>
      <c r="M61" s="6">
        <v>10891</v>
      </c>
      <c r="O61">
        <f t="shared" si="0"/>
        <v>2.39</v>
      </c>
      <c r="P61">
        <f t="shared" si="1"/>
        <v>421</v>
      </c>
      <c r="Q61">
        <f t="shared" ca="1" si="2"/>
        <v>445</v>
      </c>
      <c r="R61" t="str">
        <f t="shared" si="3"/>
        <v>Normal</v>
      </c>
      <c r="S61">
        <f t="shared" si="4"/>
        <v>0</v>
      </c>
    </row>
    <row r="62" spans="1:19" x14ac:dyDescent="0.35">
      <c r="A62" t="s">
        <v>73</v>
      </c>
      <c r="B62" t="s">
        <v>573</v>
      </c>
      <c r="C62" t="s">
        <v>1013</v>
      </c>
      <c r="D62" t="s">
        <v>1021</v>
      </c>
      <c r="E62" s="6">
        <v>43427</v>
      </c>
      <c r="F62" s="6">
        <v>14103.781392996139</v>
      </c>
      <c r="G62" t="s">
        <v>1024</v>
      </c>
      <c r="H62" s="3">
        <v>45586</v>
      </c>
      <c r="I62" s="3">
        <v>45098</v>
      </c>
      <c r="J62" s="3">
        <v>45594</v>
      </c>
      <c r="K62" t="s">
        <v>1026</v>
      </c>
      <c r="L62">
        <v>31</v>
      </c>
      <c r="M62" s="6">
        <v>7445</v>
      </c>
      <c r="O62">
        <f t="shared" si="0"/>
        <v>0.32500000000000001</v>
      </c>
      <c r="P62">
        <f t="shared" si="1"/>
        <v>496</v>
      </c>
      <c r="Q62">
        <f t="shared" ca="1" si="2"/>
        <v>377</v>
      </c>
      <c r="R62" t="str">
        <f t="shared" si="3"/>
        <v>Normal</v>
      </c>
      <c r="S62">
        <f t="shared" si="4"/>
        <v>0</v>
      </c>
    </row>
    <row r="63" spans="1:19" x14ac:dyDescent="0.35">
      <c r="A63" t="s">
        <v>74</v>
      </c>
      <c r="B63" t="s">
        <v>574</v>
      </c>
      <c r="C63" t="s">
        <v>1013</v>
      </c>
      <c r="D63" t="s">
        <v>1017</v>
      </c>
      <c r="E63" s="6">
        <v>81579</v>
      </c>
      <c r="F63" s="6">
        <v>95770.872873758781</v>
      </c>
      <c r="G63" t="s">
        <v>1023</v>
      </c>
      <c r="H63" s="3">
        <v>45444</v>
      </c>
      <c r="I63" s="3">
        <v>45231</v>
      </c>
      <c r="J63" s="3">
        <v>45601</v>
      </c>
      <c r="K63" t="s">
        <v>1025</v>
      </c>
      <c r="L63">
        <v>50</v>
      </c>
      <c r="M63" s="6">
        <v>3380</v>
      </c>
      <c r="O63">
        <f t="shared" si="0"/>
        <v>1.1739999999999999</v>
      </c>
      <c r="P63">
        <f t="shared" si="1"/>
        <v>370</v>
      </c>
      <c r="Q63">
        <f t="shared" ca="1" si="2"/>
        <v>519</v>
      </c>
      <c r="R63" t="str">
        <f t="shared" si="3"/>
        <v>High</v>
      </c>
      <c r="S63">
        <f t="shared" si="4"/>
        <v>95770.872873758781</v>
      </c>
    </row>
    <row r="64" spans="1:19" x14ac:dyDescent="0.35">
      <c r="A64" t="s">
        <v>75</v>
      </c>
      <c r="B64" t="s">
        <v>575</v>
      </c>
      <c r="C64" t="s">
        <v>1015</v>
      </c>
      <c r="D64" t="s">
        <v>1020</v>
      </c>
      <c r="E64" s="6">
        <v>30746</v>
      </c>
      <c r="F64" s="6">
        <v>47933.490039303011</v>
      </c>
      <c r="G64" t="s">
        <v>1023</v>
      </c>
      <c r="H64" s="3">
        <v>45497</v>
      </c>
      <c r="I64" s="3">
        <v>45244</v>
      </c>
      <c r="J64" s="3">
        <v>45637</v>
      </c>
      <c r="K64" t="s">
        <v>1025</v>
      </c>
      <c r="L64">
        <v>33</v>
      </c>
      <c r="M64" s="6">
        <v>14088</v>
      </c>
      <c r="O64">
        <f t="shared" si="0"/>
        <v>1.5589999999999999</v>
      </c>
      <c r="P64">
        <f t="shared" si="1"/>
        <v>393</v>
      </c>
      <c r="Q64">
        <f t="shared" ca="1" si="2"/>
        <v>466</v>
      </c>
      <c r="R64" t="str">
        <f t="shared" si="3"/>
        <v>Normal</v>
      </c>
      <c r="S64">
        <f t="shared" si="4"/>
        <v>47933.490039303011</v>
      </c>
    </row>
    <row r="65" spans="1:19" x14ac:dyDescent="0.35">
      <c r="A65" t="s">
        <v>76</v>
      </c>
      <c r="B65" t="s">
        <v>576</v>
      </c>
      <c r="C65" t="s">
        <v>1015</v>
      </c>
      <c r="D65" t="s">
        <v>1021</v>
      </c>
      <c r="E65" s="6">
        <v>89886</v>
      </c>
      <c r="F65" s="6">
        <v>43864.489128887173</v>
      </c>
      <c r="G65" t="s">
        <v>1023</v>
      </c>
      <c r="H65" s="3">
        <v>45383</v>
      </c>
      <c r="I65" s="3">
        <v>45074</v>
      </c>
      <c r="J65" s="3">
        <v>45625</v>
      </c>
      <c r="K65" t="s">
        <v>1026</v>
      </c>
      <c r="L65">
        <v>53</v>
      </c>
      <c r="M65" s="6">
        <v>11865</v>
      </c>
      <c r="O65">
        <f t="shared" si="0"/>
        <v>0.48799999999999999</v>
      </c>
      <c r="P65">
        <f t="shared" si="1"/>
        <v>551</v>
      </c>
      <c r="Q65">
        <f t="shared" ca="1" si="2"/>
        <v>580</v>
      </c>
      <c r="R65" t="str">
        <f t="shared" si="3"/>
        <v>High</v>
      </c>
      <c r="S65">
        <f t="shared" si="4"/>
        <v>43864.489128887173</v>
      </c>
    </row>
    <row r="66" spans="1:19" x14ac:dyDescent="0.35">
      <c r="A66" t="s">
        <v>77</v>
      </c>
      <c r="B66" t="s">
        <v>577</v>
      </c>
      <c r="C66" t="s">
        <v>1013</v>
      </c>
      <c r="D66" t="s">
        <v>1020</v>
      </c>
      <c r="E66" s="6">
        <v>2117</v>
      </c>
      <c r="F66" s="6">
        <v>26065.649748704509</v>
      </c>
      <c r="G66" t="s">
        <v>1022</v>
      </c>
      <c r="H66" s="3">
        <v>45332</v>
      </c>
      <c r="I66" s="3">
        <v>45111</v>
      </c>
      <c r="J66" s="3">
        <v>45460</v>
      </c>
      <c r="K66" t="s">
        <v>1026</v>
      </c>
      <c r="L66">
        <v>37</v>
      </c>
      <c r="M66" s="6">
        <v>12919</v>
      </c>
      <c r="O66">
        <f t="shared" si="0"/>
        <v>12.313000000000001</v>
      </c>
      <c r="P66">
        <f t="shared" si="1"/>
        <v>349</v>
      </c>
      <c r="Q66">
        <f t="shared" ca="1" si="2"/>
        <v>631</v>
      </c>
      <c r="R66" t="str">
        <f t="shared" si="3"/>
        <v>Normal</v>
      </c>
      <c r="S66">
        <f t="shared" si="4"/>
        <v>26065.649748704509</v>
      </c>
    </row>
    <row r="67" spans="1:19" x14ac:dyDescent="0.35">
      <c r="A67" t="s">
        <v>78</v>
      </c>
      <c r="B67" t="s">
        <v>578</v>
      </c>
      <c r="C67" t="s">
        <v>1016</v>
      </c>
      <c r="D67" t="s">
        <v>1019</v>
      </c>
      <c r="E67" s="6">
        <v>86471</v>
      </c>
      <c r="F67" s="6">
        <v>8580.2329466446699</v>
      </c>
      <c r="G67" t="s">
        <v>1022</v>
      </c>
      <c r="H67" s="3">
        <v>45344</v>
      </c>
      <c r="I67" s="3">
        <v>45033</v>
      </c>
      <c r="J67" s="3">
        <v>45502</v>
      </c>
      <c r="K67" t="s">
        <v>1025</v>
      </c>
      <c r="L67">
        <v>53</v>
      </c>
      <c r="M67" s="6">
        <v>8534</v>
      </c>
      <c r="O67">
        <f t="shared" ref="O67:O130" si="5">IF(E67=0, 0, ROUND(F67 / E67, 3))</f>
        <v>9.9000000000000005E-2</v>
      </c>
      <c r="P67">
        <f t="shared" ref="P67:P130" si="6">IF(AND(ISNUMBER(I67), ISNUMBER(J67)), DATEDIF(I67, J67, "D"), "")</f>
        <v>469</v>
      </c>
      <c r="Q67">
        <f t="shared" ref="Q67:Q130" ca="1" si="7">IF(ISNUMBER(H67), TODAY() - H67, "")</f>
        <v>619</v>
      </c>
      <c r="R67" t="str">
        <f t="shared" ref="R67:R130" si="8">IF(E67&gt;50000, "High","Normal")</f>
        <v>High</v>
      </c>
      <c r="S67">
        <f t="shared" ref="S67:S130" si="9">IF(G67="Rejected", 0, F67)</f>
        <v>8580.2329466446699</v>
      </c>
    </row>
    <row r="68" spans="1:19" x14ac:dyDescent="0.35">
      <c r="A68" t="s">
        <v>79</v>
      </c>
      <c r="B68" t="s">
        <v>579</v>
      </c>
      <c r="C68" t="s">
        <v>1014</v>
      </c>
      <c r="D68" t="s">
        <v>1018</v>
      </c>
      <c r="E68" s="6">
        <v>15234</v>
      </c>
      <c r="F68" s="6">
        <v>22486.710089945591</v>
      </c>
      <c r="G68" t="s">
        <v>1023</v>
      </c>
      <c r="H68" s="3">
        <v>45394</v>
      </c>
      <c r="I68" s="3">
        <v>45289</v>
      </c>
      <c r="J68" s="3">
        <v>45356</v>
      </c>
      <c r="K68" t="s">
        <v>1025</v>
      </c>
      <c r="L68">
        <v>30</v>
      </c>
      <c r="M68" s="6">
        <v>5156</v>
      </c>
      <c r="O68">
        <f t="shared" si="5"/>
        <v>1.476</v>
      </c>
      <c r="P68">
        <f t="shared" si="6"/>
        <v>67</v>
      </c>
      <c r="Q68">
        <f t="shared" ca="1" si="7"/>
        <v>569</v>
      </c>
      <c r="R68" t="str">
        <f t="shared" si="8"/>
        <v>Normal</v>
      </c>
      <c r="S68">
        <f t="shared" si="9"/>
        <v>22486.710089945591</v>
      </c>
    </row>
    <row r="69" spans="1:19" x14ac:dyDescent="0.35">
      <c r="A69" t="s">
        <v>80</v>
      </c>
      <c r="B69" t="s">
        <v>580</v>
      </c>
      <c r="C69" t="s">
        <v>1015</v>
      </c>
      <c r="D69" t="s">
        <v>1019</v>
      </c>
      <c r="E69" s="6">
        <v>55441</v>
      </c>
      <c r="F69" s="6">
        <v>58336.699258038992</v>
      </c>
      <c r="G69" t="s">
        <v>1023</v>
      </c>
      <c r="H69" s="3">
        <v>45422</v>
      </c>
      <c r="I69" s="3">
        <v>44949</v>
      </c>
      <c r="J69" s="3">
        <v>45361</v>
      </c>
      <c r="K69" t="s">
        <v>1025</v>
      </c>
      <c r="L69">
        <v>60</v>
      </c>
      <c r="M69" s="6">
        <v>13580</v>
      </c>
      <c r="O69">
        <f t="shared" si="5"/>
        <v>1.052</v>
      </c>
      <c r="P69">
        <f t="shared" si="6"/>
        <v>412</v>
      </c>
      <c r="Q69">
        <f t="shared" ca="1" si="7"/>
        <v>541</v>
      </c>
      <c r="R69" t="str">
        <f t="shared" si="8"/>
        <v>High</v>
      </c>
      <c r="S69">
        <f t="shared" si="9"/>
        <v>58336.699258038992</v>
      </c>
    </row>
    <row r="70" spans="1:19" x14ac:dyDescent="0.35">
      <c r="A70" t="s">
        <v>81</v>
      </c>
      <c r="B70" t="s">
        <v>581</v>
      </c>
      <c r="C70" t="s">
        <v>1014</v>
      </c>
      <c r="D70" t="s">
        <v>1021</v>
      </c>
      <c r="E70" s="6">
        <v>2846</v>
      </c>
      <c r="F70" s="6">
        <v>9516.6712233565722</v>
      </c>
      <c r="G70" t="s">
        <v>1022</v>
      </c>
      <c r="H70" s="3">
        <v>45351</v>
      </c>
      <c r="I70" s="3">
        <v>45136</v>
      </c>
      <c r="J70" s="3">
        <v>45293</v>
      </c>
      <c r="K70" t="s">
        <v>1026</v>
      </c>
      <c r="L70">
        <v>31</v>
      </c>
      <c r="M70" s="6">
        <v>6307</v>
      </c>
      <c r="O70">
        <f t="shared" si="5"/>
        <v>3.3439999999999999</v>
      </c>
      <c r="P70">
        <f t="shared" si="6"/>
        <v>157</v>
      </c>
      <c r="Q70">
        <f t="shared" ca="1" si="7"/>
        <v>612</v>
      </c>
      <c r="R70" t="str">
        <f t="shared" si="8"/>
        <v>Normal</v>
      </c>
      <c r="S70">
        <f t="shared" si="9"/>
        <v>9516.6712233565722</v>
      </c>
    </row>
    <row r="71" spans="1:19" x14ac:dyDescent="0.35">
      <c r="A71" t="s">
        <v>82</v>
      </c>
      <c r="B71" t="s">
        <v>582</v>
      </c>
      <c r="C71" t="s">
        <v>1016</v>
      </c>
      <c r="D71" t="s">
        <v>1020</v>
      </c>
      <c r="E71" s="6">
        <v>12954</v>
      </c>
      <c r="F71" s="6">
        <v>64108.966254510917</v>
      </c>
      <c r="G71" t="s">
        <v>1022</v>
      </c>
      <c r="H71" s="3">
        <v>45492</v>
      </c>
      <c r="I71" s="3">
        <v>45122</v>
      </c>
      <c r="J71" s="3">
        <v>45317</v>
      </c>
      <c r="K71" t="s">
        <v>1026</v>
      </c>
      <c r="L71">
        <v>68</v>
      </c>
      <c r="M71" s="6">
        <v>7634</v>
      </c>
      <c r="O71">
        <f t="shared" si="5"/>
        <v>4.9489999999999998</v>
      </c>
      <c r="P71">
        <f t="shared" si="6"/>
        <v>195</v>
      </c>
      <c r="Q71">
        <f t="shared" ca="1" si="7"/>
        <v>471</v>
      </c>
      <c r="R71" t="str">
        <f t="shared" si="8"/>
        <v>Normal</v>
      </c>
      <c r="S71">
        <f t="shared" si="9"/>
        <v>64108.966254510917</v>
      </c>
    </row>
    <row r="72" spans="1:19" x14ac:dyDescent="0.35">
      <c r="A72" t="s">
        <v>83</v>
      </c>
      <c r="B72" t="s">
        <v>583</v>
      </c>
      <c r="C72" t="s">
        <v>1016</v>
      </c>
      <c r="D72" t="s">
        <v>1020</v>
      </c>
      <c r="E72" s="6">
        <v>81239</v>
      </c>
      <c r="F72" s="6">
        <v>68876.935803622662</v>
      </c>
      <c r="G72" t="s">
        <v>1023</v>
      </c>
      <c r="H72" s="3">
        <v>45584</v>
      </c>
      <c r="I72" s="3">
        <v>45082</v>
      </c>
      <c r="J72" s="3">
        <v>45639</v>
      </c>
      <c r="K72" t="s">
        <v>1026</v>
      </c>
      <c r="L72">
        <v>34</v>
      </c>
      <c r="M72" s="6">
        <v>10575</v>
      </c>
      <c r="O72">
        <f t="shared" si="5"/>
        <v>0.84799999999999998</v>
      </c>
      <c r="P72">
        <f t="shared" si="6"/>
        <v>557</v>
      </c>
      <c r="Q72">
        <f t="shared" ca="1" si="7"/>
        <v>379</v>
      </c>
      <c r="R72" t="str">
        <f t="shared" si="8"/>
        <v>High</v>
      </c>
      <c r="S72">
        <f t="shared" si="9"/>
        <v>68876.935803622662</v>
      </c>
    </row>
    <row r="73" spans="1:19" x14ac:dyDescent="0.35">
      <c r="A73" t="s">
        <v>84</v>
      </c>
      <c r="B73" t="s">
        <v>584</v>
      </c>
      <c r="C73" t="s">
        <v>1016</v>
      </c>
      <c r="D73" t="s">
        <v>1017</v>
      </c>
      <c r="E73" s="6">
        <v>48514</v>
      </c>
      <c r="F73" s="6">
        <v>44194.597994826159</v>
      </c>
      <c r="G73" t="s">
        <v>1023</v>
      </c>
      <c r="H73" s="3">
        <v>45396</v>
      </c>
      <c r="I73" s="3">
        <v>45111</v>
      </c>
      <c r="J73" s="3">
        <v>45487</v>
      </c>
      <c r="K73" t="s">
        <v>1025</v>
      </c>
      <c r="L73">
        <v>50</v>
      </c>
      <c r="M73" s="6">
        <v>7810</v>
      </c>
      <c r="O73">
        <f t="shared" si="5"/>
        <v>0.91100000000000003</v>
      </c>
      <c r="P73">
        <f t="shared" si="6"/>
        <v>376</v>
      </c>
      <c r="Q73">
        <f t="shared" ca="1" si="7"/>
        <v>567</v>
      </c>
      <c r="R73" t="str">
        <f t="shared" si="8"/>
        <v>Normal</v>
      </c>
      <c r="S73">
        <f t="shared" si="9"/>
        <v>44194.597994826159</v>
      </c>
    </row>
    <row r="74" spans="1:19" x14ac:dyDescent="0.35">
      <c r="A74" t="s">
        <v>85</v>
      </c>
      <c r="B74" t="s">
        <v>585</v>
      </c>
      <c r="C74" t="s">
        <v>1015</v>
      </c>
      <c r="D74" t="s">
        <v>1020</v>
      </c>
      <c r="E74" s="6">
        <v>90236</v>
      </c>
      <c r="F74" s="6">
        <v>29719.670674958488</v>
      </c>
      <c r="G74" t="s">
        <v>1023</v>
      </c>
      <c r="H74" s="3">
        <v>45541</v>
      </c>
      <c r="I74" s="3">
        <v>45026</v>
      </c>
      <c r="J74" s="3">
        <v>45606</v>
      </c>
      <c r="K74" t="s">
        <v>1025</v>
      </c>
      <c r="L74">
        <v>68</v>
      </c>
      <c r="M74" s="6">
        <v>10533</v>
      </c>
      <c r="O74">
        <f t="shared" si="5"/>
        <v>0.32900000000000001</v>
      </c>
      <c r="P74">
        <f t="shared" si="6"/>
        <v>580</v>
      </c>
      <c r="Q74">
        <f t="shared" ca="1" si="7"/>
        <v>422</v>
      </c>
      <c r="R74" t="str">
        <f t="shared" si="8"/>
        <v>High</v>
      </c>
      <c r="S74">
        <f t="shared" si="9"/>
        <v>29719.670674958488</v>
      </c>
    </row>
    <row r="75" spans="1:19" x14ac:dyDescent="0.35">
      <c r="A75" t="s">
        <v>86</v>
      </c>
      <c r="B75" t="s">
        <v>586</v>
      </c>
      <c r="C75" t="s">
        <v>1016</v>
      </c>
      <c r="D75" t="s">
        <v>1017</v>
      </c>
      <c r="E75" s="6">
        <v>99579</v>
      </c>
      <c r="F75" s="6">
        <v>56127.850825409238</v>
      </c>
      <c r="G75" t="s">
        <v>1023</v>
      </c>
      <c r="H75" s="3">
        <v>45515</v>
      </c>
      <c r="I75" s="3">
        <v>45025</v>
      </c>
      <c r="J75" s="3">
        <v>45301</v>
      </c>
      <c r="K75" t="s">
        <v>1026</v>
      </c>
      <c r="L75">
        <v>48</v>
      </c>
      <c r="M75" s="6">
        <v>7934</v>
      </c>
      <c r="O75">
        <f t="shared" si="5"/>
        <v>0.56399999999999995</v>
      </c>
      <c r="P75">
        <f t="shared" si="6"/>
        <v>276</v>
      </c>
      <c r="Q75">
        <f t="shared" ca="1" si="7"/>
        <v>448</v>
      </c>
      <c r="R75" t="str">
        <f t="shared" si="8"/>
        <v>High</v>
      </c>
      <c r="S75">
        <f t="shared" si="9"/>
        <v>56127.850825409238</v>
      </c>
    </row>
    <row r="76" spans="1:19" x14ac:dyDescent="0.35">
      <c r="A76" t="s">
        <v>87</v>
      </c>
      <c r="B76" t="s">
        <v>587</v>
      </c>
      <c r="C76" t="s">
        <v>1015</v>
      </c>
      <c r="D76" t="s">
        <v>1018</v>
      </c>
      <c r="E76" s="6">
        <v>8469</v>
      </c>
      <c r="F76" s="6">
        <v>7186.4646095004346</v>
      </c>
      <c r="G76" t="s">
        <v>1023</v>
      </c>
      <c r="H76" s="3">
        <v>45545</v>
      </c>
      <c r="I76" s="3">
        <v>45137</v>
      </c>
      <c r="J76" s="3">
        <v>45318</v>
      </c>
      <c r="K76" t="s">
        <v>1026</v>
      </c>
      <c r="L76">
        <v>45</v>
      </c>
      <c r="M76" s="6">
        <v>12179</v>
      </c>
      <c r="O76">
        <f t="shared" si="5"/>
        <v>0.84899999999999998</v>
      </c>
      <c r="P76">
        <f t="shared" si="6"/>
        <v>181</v>
      </c>
      <c r="Q76">
        <f t="shared" ca="1" si="7"/>
        <v>418</v>
      </c>
      <c r="R76" t="str">
        <f t="shared" si="8"/>
        <v>Normal</v>
      </c>
      <c r="S76">
        <f t="shared" si="9"/>
        <v>7186.4646095004346</v>
      </c>
    </row>
    <row r="77" spans="1:19" x14ac:dyDescent="0.35">
      <c r="A77" t="s">
        <v>88</v>
      </c>
      <c r="B77" t="s">
        <v>588</v>
      </c>
      <c r="C77" t="s">
        <v>1016</v>
      </c>
      <c r="D77" t="s">
        <v>1021</v>
      </c>
      <c r="E77" s="6">
        <v>32105</v>
      </c>
      <c r="F77" s="6">
        <v>22469.647537496068</v>
      </c>
      <c r="G77" t="s">
        <v>1023</v>
      </c>
      <c r="H77" s="3">
        <v>45552</v>
      </c>
      <c r="I77" s="3">
        <v>45179</v>
      </c>
      <c r="J77" s="3">
        <v>45351</v>
      </c>
      <c r="K77" t="s">
        <v>1025</v>
      </c>
      <c r="L77">
        <v>37</v>
      </c>
      <c r="M77" s="6">
        <v>14251</v>
      </c>
      <c r="O77">
        <f t="shared" si="5"/>
        <v>0.7</v>
      </c>
      <c r="P77">
        <f t="shared" si="6"/>
        <v>172</v>
      </c>
      <c r="Q77">
        <f t="shared" ca="1" si="7"/>
        <v>411</v>
      </c>
      <c r="R77" t="str">
        <f t="shared" si="8"/>
        <v>Normal</v>
      </c>
      <c r="S77">
        <f t="shared" si="9"/>
        <v>22469.647537496068</v>
      </c>
    </row>
    <row r="78" spans="1:19" x14ac:dyDescent="0.35">
      <c r="A78" t="s">
        <v>89</v>
      </c>
      <c r="B78" t="s">
        <v>589</v>
      </c>
      <c r="C78" t="s">
        <v>1014</v>
      </c>
      <c r="D78" t="s">
        <v>1017</v>
      </c>
      <c r="E78" s="6">
        <v>44101</v>
      </c>
      <c r="F78" s="6">
        <v>34395.072700674347</v>
      </c>
      <c r="G78" t="s">
        <v>1022</v>
      </c>
      <c r="H78" s="3">
        <v>45575</v>
      </c>
      <c r="I78" s="3">
        <v>45007</v>
      </c>
      <c r="J78" s="3">
        <v>45511</v>
      </c>
      <c r="K78" t="s">
        <v>1025</v>
      </c>
      <c r="L78">
        <v>51</v>
      </c>
      <c r="M78" s="6">
        <v>5109</v>
      </c>
      <c r="O78">
        <f t="shared" si="5"/>
        <v>0.78</v>
      </c>
      <c r="P78">
        <f t="shared" si="6"/>
        <v>504</v>
      </c>
      <c r="Q78">
        <f t="shared" ca="1" si="7"/>
        <v>388</v>
      </c>
      <c r="R78" t="str">
        <f t="shared" si="8"/>
        <v>Normal</v>
      </c>
      <c r="S78">
        <f t="shared" si="9"/>
        <v>34395.072700674347</v>
      </c>
    </row>
    <row r="79" spans="1:19" x14ac:dyDescent="0.35">
      <c r="A79" t="s">
        <v>90</v>
      </c>
      <c r="B79" t="s">
        <v>590</v>
      </c>
      <c r="C79" t="s">
        <v>1014</v>
      </c>
      <c r="D79" t="s">
        <v>1018</v>
      </c>
      <c r="E79" s="6">
        <v>66323</v>
      </c>
      <c r="F79" s="6">
        <v>28599.37010050055</v>
      </c>
      <c r="G79" t="s">
        <v>1023</v>
      </c>
      <c r="H79" s="3">
        <v>45551</v>
      </c>
      <c r="I79" s="3">
        <v>45171</v>
      </c>
      <c r="J79" s="3">
        <v>45481</v>
      </c>
      <c r="K79" t="s">
        <v>1025</v>
      </c>
      <c r="L79">
        <v>41</v>
      </c>
      <c r="M79" s="6">
        <v>6082</v>
      </c>
      <c r="O79">
        <f t="shared" si="5"/>
        <v>0.43099999999999999</v>
      </c>
      <c r="P79">
        <f t="shared" si="6"/>
        <v>310</v>
      </c>
      <c r="Q79">
        <f t="shared" ca="1" si="7"/>
        <v>412</v>
      </c>
      <c r="R79" t="str">
        <f t="shared" si="8"/>
        <v>High</v>
      </c>
      <c r="S79">
        <f t="shared" si="9"/>
        <v>28599.37010050055</v>
      </c>
    </row>
    <row r="80" spans="1:19" x14ac:dyDescent="0.35">
      <c r="A80" t="s">
        <v>91</v>
      </c>
      <c r="B80" t="s">
        <v>591</v>
      </c>
      <c r="C80" t="s">
        <v>1013</v>
      </c>
      <c r="D80" t="s">
        <v>1020</v>
      </c>
      <c r="E80" s="6">
        <v>93922</v>
      </c>
      <c r="F80" s="6">
        <v>25381.522048250361</v>
      </c>
      <c r="G80" t="s">
        <v>1022</v>
      </c>
      <c r="H80" s="3">
        <v>45400</v>
      </c>
      <c r="I80" s="3">
        <v>45008</v>
      </c>
      <c r="J80" s="3">
        <v>45447</v>
      </c>
      <c r="K80" t="s">
        <v>1025</v>
      </c>
      <c r="L80">
        <v>57</v>
      </c>
      <c r="M80" s="6">
        <v>14707</v>
      </c>
      <c r="O80">
        <f t="shared" si="5"/>
        <v>0.27</v>
      </c>
      <c r="P80">
        <f t="shared" si="6"/>
        <v>439</v>
      </c>
      <c r="Q80">
        <f t="shared" ca="1" si="7"/>
        <v>563</v>
      </c>
      <c r="R80" t="str">
        <f t="shared" si="8"/>
        <v>High</v>
      </c>
      <c r="S80">
        <f t="shared" si="9"/>
        <v>25381.522048250361</v>
      </c>
    </row>
    <row r="81" spans="1:19" x14ac:dyDescent="0.35">
      <c r="A81" t="s">
        <v>92</v>
      </c>
      <c r="B81" t="s">
        <v>592</v>
      </c>
      <c r="C81" t="s">
        <v>1014</v>
      </c>
      <c r="D81" t="s">
        <v>1020</v>
      </c>
      <c r="E81" s="6">
        <v>60067</v>
      </c>
      <c r="F81" s="6">
        <v>20019.132405939421</v>
      </c>
      <c r="G81" t="s">
        <v>1023</v>
      </c>
      <c r="H81" s="3">
        <v>45345</v>
      </c>
      <c r="I81" s="3">
        <v>45075</v>
      </c>
      <c r="J81" s="3">
        <v>45492</v>
      </c>
      <c r="K81" t="s">
        <v>1026</v>
      </c>
      <c r="L81">
        <v>36</v>
      </c>
      <c r="M81" s="6">
        <v>12990</v>
      </c>
      <c r="O81">
        <f t="shared" si="5"/>
        <v>0.33300000000000002</v>
      </c>
      <c r="P81">
        <f t="shared" si="6"/>
        <v>417</v>
      </c>
      <c r="Q81">
        <f t="shared" ca="1" si="7"/>
        <v>618</v>
      </c>
      <c r="R81" t="str">
        <f t="shared" si="8"/>
        <v>High</v>
      </c>
      <c r="S81">
        <f t="shared" si="9"/>
        <v>20019.132405939421</v>
      </c>
    </row>
    <row r="82" spans="1:19" x14ac:dyDescent="0.35">
      <c r="A82" t="s">
        <v>93</v>
      </c>
      <c r="B82" t="s">
        <v>593</v>
      </c>
      <c r="C82" t="s">
        <v>1013</v>
      </c>
      <c r="D82" t="s">
        <v>1018</v>
      </c>
      <c r="E82" s="6">
        <v>51376</v>
      </c>
      <c r="F82" s="6">
        <v>21059.46449928531</v>
      </c>
      <c r="G82" t="s">
        <v>1023</v>
      </c>
      <c r="H82" s="3">
        <v>45543</v>
      </c>
      <c r="I82" s="3">
        <v>45267</v>
      </c>
      <c r="J82" s="3">
        <v>45652</v>
      </c>
      <c r="K82" t="s">
        <v>1025</v>
      </c>
      <c r="L82">
        <v>42</v>
      </c>
      <c r="M82" s="6">
        <v>5240</v>
      </c>
      <c r="O82">
        <f t="shared" si="5"/>
        <v>0.41</v>
      </c>
      <c r="P82">
        <f t="shared" si="6"/>
        <v>385</v>
      </c>
      <c r="Q82">
        <f t="shared" ca="1" si="7"/>
        <v>420</v>
      </c>
      <c r="R82" t="str">
        <f t="shared" si="8"/>
        <v>High</v>
      </c>
      <c r="S82">
        <f t="shared" si="9"/>
        <v>21059.46449928531</v>
      </c>
    </row>
    <row r="83" spans="1:19" x14ac:dyDescent="0.35">
      <c r="A83" t="s">
        <v>94</v>
      </c>
      <c r="B83" t="s">
        <v>594</v>
      </c>
      <c r="C83" t="s">
        <v>1014</v>
      </c>
      <c r="D83" t="s">
        <v>1020</v>
      </c>
      <c r="E83" s="6">
        <v>47587</v>
      </c>
      <c r="F83" s="6">
        <v>12950.068812750789</v>
      </c>
      <c r="G83" t="s">
        <v>1023</v>
      </c>
      <c r="H83" s="3">
        <v>45493</v>
      </c>
      <c r="I83" s="3">
        <v>45214</v>
      </c>
      <c r="J83" s="3">
        <v>45473</v>
      </c>
      <c r="K83" t="s">
        <v>1025</v>
      </c>
      <c r="L83">
        <v>43</v>
      </c>
      <c r="M83" s="6">
        <v>12180</v>
      </c>
      <c r="O83">
        <f t="shared" si="5"/>
        <v>0.27200000000000002</v>
      </c>
      <c r="P83">
        <f t="shared" si="6"/>
        <v>259</v>
      </c>
      <c r="Q83">
        <f t="shared" ca="1" si="7"/>
        <v>470</v>
      </c>
      <c r="R83" t="str">
        <f t="shared" si="8"/>
        <v>Normal</v>
      </c>
      <c r="S83">
        <f t="shared" si="9"/>
        <v>12950.068812750789</v>
      </c>
    </row>
    <row r="84" spans="1:19" x14ac:dyDescent="0.35">
      <c r="A84" t="s">
        <v>95</v>
      </c>
      <c r="B84" t="s">
        <v>595</v>
      </c>
      <c r="C84" t="s">
        <v>1015</v>
      </c>
      <c r="D84" t="s">
        <v>1018</v>
      </c>
      <c r="E84" s="6">
        <v>38976</v>
      </c>
      <c r="F84" s="6">
        <v>51461.965770763723</v>
      </c>
      <c r="G84" t="s">
        <v>1023</v>
      </c>
      <c r="H84" s="3">
        <v>45400</v>
      </c>
      <c r="I84" s="3">
        <v>45015</v>
      </c>
      <c r="J84" s="3">
        <v>45457</v>
      </c>
      <c r="K84" t="s">
        <v>1025</v>
      </c>
      <c r="L84">
        <v>69</v>
      </c>
      <c r="M84" s="6">
        <v>8028</v>
      </c>
      <c r="O84">
        <f t="shared" si="5"/>
        <v>1.32</v>
      </c>
      <c r="P84">
        <f t="shared" si="6"/>
        <v>442</v>
      </c>
      <c r="Q84">
        <f t="shared" ca="1" si="7"/>
        <v>563</v>
      </c>
      <c r="R84" t="str">
        <f t="shared" si="8"/>
        <v>Normal</v>
      </c>
      <c r="S84">
        <f t="shared" si="9"/>
        <v>51461.965770763723</v>
      </c>
    </row>
    <row r="85" spans="1:19" x14ac:dyDescent="0.35">
      <c r="A85" t="s">
        <v>96</v>
      </c>
      <c r="B85" t="s">
        <v>596</v>
      </c>
      <c r="C85" t="s">
        <v>1014</v>
      </c>
      <c r="D85" t="s">
        <v>1017</v>
      </c>
      <c r="E85" s="6">
        <v>69584</v>
      </c>
      <c r="F85" s="6">
        <v>55471.009636943098</v>
      </c>
      <c r="G85" t="s">
        <v>1022</v>
      </c>
      <c r="H85" s="3">
        <v>45385</v>
      </c>
      <c r="I85" s="3">
        <v>45023</v>
      </c>
      <c r="J85" s="3">
        <v>45622</v>
      </c>
      <c r="K85" t="s">
        <v>1026</v>
      </c>
      <c r="L85">
        <v>27</v>
      </c>
      <c r="M85" s="6">
        <v>13606</v>
      </c>
      <c r="O85">
        <f t="shared" si="5"/>
        <v>0.79700000000000004</v>
      </c>
      <c r="P85">
        <f t="shared" si="6"/>
        <v>599</v>
      </c>
      <c r="Q85">
        <f t="shared" ca="1" si="7"/>
        <v>578</v>
      </c>
      <c r="R85" t="str">
        <f t="shared" si="8"/>
        <v>High</v>
      </c>
      <c r="S85">
        <f t="shared" si="9"/>
        <v>55471.009636943098</v>
      </c>
    </row>
    <row r="86" spans="1:19" x14ac:dyDescent="0.35">
      <c r="A86" t="s">
        <v>97</v>
      </c>
      <c r="B86" t="s">
        <v>597</v>
      </c>
      <c r="C86" t="s">
        <v>1013</v>
      </c>
      <c r="D86" t="s">
        <v>1017</v>
      </c>
      <c r="E86" s="6">
        <v>80477</v>
      </c>
      <c r="F86" s="6">
        <v>87976.427785585387</v>
      </c>
      <c r="G86" t="s">
        <v>1024</v>
      </c>
      <c r="H86" s="3">
        <v>45322</v>
      </c>
      <c r="I86" s="3">
        <v>45197</v>
      </c>
      <c r="J86" s="3">
        <v>45655</v>
      </c>
      <c r="K86" t="s">
        <v>1026</v>
      </c>
      <c r="L86">
        <v>60</v>
      </c>
      <c r="M86" s="6">
        <v>3849</v>
      </c>
      <c r="O86">
        <f t="shared" si="5"/>
        <v>1.093</v>
      </c>
      <c r="P86">
        <f t="shared" si="6"/>
        <v>458</v>
      </c>
      <c r="Q86">
        <f t="shared" ca="1" si="7"/>
        <v>641</v>
      </c>
      <c r="R86" t="str">
        <f t="shared" si="8"/>
        <v>High</v>
      </c>
      <c r="S86">
        <f t="shared" si="9"/>
        <v>0</v>
      </c>
    </row>
    <row r="87" spans="1:19" x14ac:dyDescent="0.35">
      <c r="A87" t="s">
        <v>98</v>
      </c>
      <c r="B87" t="s">
        <v>598</v>
      </c>
      <c r="C87" t="s">
        <v>1013</v>
      </c>
      <c r="D87" t="s">
        <v>1018</v>
      </c>
      <c r="E87" s="6">
        <v>44533</v>
      </c>
      <c r="F87" s="6">
        <v>68463.749532763031</v>
      </c>
      <c r="G87" t="s">
        <v>1023</v>
      </c>
      <c r="H87" s="3">
        <v>45399</v>
      </c>
      <c r="I87" s="3">
        <v>44928</v>
      </c>
      <c r="J87" s="3">
        <v>45343</v>
      </c>
      <c r="K87" t="s">
        <v>1025</v>
      </c>
      <c r="L87">
        <v>25</v>
      </c>
      <c r="M87" s="6">
        <v>10497</v>
      </c>
      <c r="O87">
        <f t="shared" si="5"/>
        <v>1.5369999999999999</v>
      </c>
      <c r="P87">
        <f t="shared" si="6"/>
        <v>415</v>
      </c>
      <c r="Q87">
        <f t="shared" ca="1" si="7"/>
        <v>564</v>
      </c>
      <c r="R87" t="str">
        <f t="shared" si="8"/>
        <v>Normal</v>
      </c>
      <c r="S87">
        <f t="shared" si="9"/>
        <v>68463.749532763031</v>
      </c>
    </row>
    <row r="88" spans="1:19" x14ac:dyDescent="0.35">
      <c r="A88" t="s">
        <v>99</v>
      </c>
      <c r="B88" t="s">
        <v>599</v>
      </c>
      <c r="C88" t="s">
        <v>1016</v>
      </c>
      <c r="D88" t="s">
        <v>1017</v>
      </c>
      <c r="E88" s="6">
        <v>3828</v>
      </c>
      <c r="F88" s="6">
        <v>0</v>
      </c>
      <c r="G88" t="s">
        <v>1023</v>
      </c>
      <c r="H88" s="3">
        <v>45489</v>
      </c>
      <c r="I88" s="3">
        <v>45262</v>
      </c>
      <c r="J88" s="3">
        <v>45512</v>
      </c>
      <c r="K88" t="s">
        <v>1025</v>
      </c>
      <c r="L88">
        <v>24</v>
      </c>
      <c r="M88" s="6">
        <v>13805</v>
      </c>
      <c r="O88">
        <f t="shared" si="5"/>
        <v>0</v>
      </c>
      <c r="P88">
        <f t="shared" si="6"/>
        <v>250</v>
      </c>
      <c r="Q88">
        <f t="shared" ca="1" si="7"/>
        <v>474</v>
      </c>
      <c r="R88" t="str">
        <f t="shared" si="8"/>
        <v>Normal</v>
      </c>
      <c r="S88">
        <f t="shared" si="9"/>
        <v>0</v>
      </c>
    </row>
    <row r="89" spans="1:19" x14ac:dyDescent="0.35">
      <c r="A89" t="s">
        <v>100</v>
      </c>
      <c r="B89" t="s">
        <v>600</v>
      </c>
      <c r="C89" t="s">
        <v>1015</v>
      </c>
      <c r="D89" t="s">
        <v>1017</v>
      </c>
      <c r="E89" s="6">
        <v>3917</v>
      </c>
      <c r="F89" s="6">
        <v>31237.366667832841</v>
      </c>
      <c r="G89" t="s">
        <v>1022</v>
      </c>
      <c r="H89" s="3">
        <v>45299</v>
      </c>
      <c r="I89" s="3">
        <v>45140</v>
      </c>
      <c r="J89" s="3">
        <v>45292</v>
      </c>
      <c r="K89" t="s">
        <v>1025</v>
      </c>
      <c r="L89">
        <v>63</v>
      </c>
      <c r="M89" s="6">
        <v>4749</v>
      </c>
      <c r="O89">
        <f t="shared" si="5"/>
        <v>7.9749999999999996</v>
      </c>
      <c r="P89">
        <f t="shared" si="6"/>
        <v>152</v>
      </c>
      <c r="Q89">
        <f t="shared" ca="1" si="7"/>
        <v>664</v>
      </c>
      <c r="R89" t="str">
        <f t="shared" si="8"/>
        <v>Normal</v>
      </c>
      <c r="S89">
        <f t="shared" si="9"/>
        <v>31237.366667832841</v>
      </c>
    </row>
    <row r="90" spans="1:19" x14ac:dyDescent="0.35">
      <c r="A90" t="s">
        <v>101</v>
      </c>
      <c r="B90" t="s">
        <v>601</v>
      </c>
      <c r="C90" t="s">
        <v>1014</v>
      </c>
      <c r="D90" t="s">
        <v>1017</v>
      </c>
      <c r="E90" s="6">
        <v>22618</v>
      </c>
      <c r="F90" s="6">
        <v>85784.226156011544</v>
      </c>
      <c r="G90" t="s">
        <v>1023</v>
      </c>
      <c r="H90" s="3">
        <v>45370</v>
      </c>
      <c r="I90" s="3">
        <v>45065</v>
      </c>
      <c r="J90" s="3">
        <v>45650</v>
      </c>
      <c r="K90" t="s">
        <v>1026</v>
      </c>
      <c r="L90">
        <v>48</v>
      </c>
      <c r="M90" s="6">
        <v>8680</v>
      </c>
      <c r="O90">
        <f t="shared" si="5"/>
        <v>3.7930000000000001</v>
      </c>
      <c r="P90">
        <f t="shared" si="6"/>
        <v>585</v>
      </c>
      <c r="Q90">
        <f t="shared" ca="1" si="7"/>
        <v>593</v>
      </c>
      <c r="R90" t="str">
        <f t="shared" si="8"/>
        <v>Normal</v>
      </c>
      <c r="S90">
        <f t="shared" si="9"/>
        <v>85784.226156011544</v>
      </c>
    </row>
    <row r="91" spans="1:19" x14ac:dyDescent="0.35">
      <c r="A91" t="s">
        <v>102</v>
      </c>
      <c r="B91" t="s">
        <v>602</v>
      </c>
      <c r="C91" t="s">
        <v>1016</v>
      </c>
      <c r="D91" t="s">
        <v>1019</v>
      </c>
      <c r="E91" s="6">
        <v>34254</v>
      </c>
      <c r="F91" s="6">
        <v>40928.220499709598</v>
      </c>
      <c r="G91" t="s">
        <v>1023</v>
      </c>
      <c r="H91" s="3">
        <v>45542</v>
      </c>
      <c r="I91" s="3">
        <v>44954</v>
      </c>
      <c r="J91" s="3">
        <v>45344</v>
      </c>
      <c r="K91" t="s">
        <v>1026</v>
      </c>
      <c r="L91">
        <v>47</v>
      </c>
      <c r="M91" s="6">
        <v>11327</v>
      </c>
      <c r="O91">
        <f t="shared" si="5"/>
        <v>1.1950000000000001</v>
      </c>
      <c r="P91">
        <f t="shared" si="6"/>
        <v>390</v>
      </c>
      <c r="Q91">
        <f t="shared" ca="1" si="7"/>
        <v>421</v>
      </c>
      <c r="R91" t="str">
        <f t="shared" si="8"/>
        <v>Normal</v>
      </c>
      <c r="S91">
        <f t="shared" si="9"/>
        <v>40928.220499709598</v>
      </c>
    </row>
    <row r="92" spans="1:19" x14ac:dyDescent="0.35">
      <c r="A92" t="s">
        <v>103</v>
      </c>
      <c r="B92" t="s">
        <v>603</v>
      </c>
      <c r="C92" t="s">
        <v>1014</v>
      </c>
      <c r="D92" t="s">
        <v>1021</v>
      </c>
      <c r="E92" s="6">
        <v>49362</v>
      </c>
      <c r="F92" s="6">
        <v>74852.572510418497</v>
      </c>
      <c r="G92" t="s">
        <v>1022</v>
      </c>
      <c r="H92" s="3">
        <v>45569</v>
      </c>
      <c r="I92" s="3">
        <v>45098</v>
      </c>
      <c r="J92" s="3">
        <v>45515</v>
      </c>
      <c r="K92" t="s">
        <v>1026</v>
      </c>
      <c r="L92">
        <v>30</v>
      </c>
      <c r="M92" s="6">
        <v>2205</v>
      </c>
      <c r="O92">
        <f t="shared" si="5"/>
        <v>1.516</v>
      </c>
      <c r="P92">
        <f t="shared" si="6"/>
        <v>417</v>
      </c>
      <c r="Q92">
        <f t="shared" ca="1" si="7"/>
        <v>394</v>
      </c>
      <c r="R92" t="str">
        <f t="shared" si="8"/>
        <v>Normal</v>
      </c>
      <c r="S92">
        <f t="shared" si="9"/>
        <v>74852.572510418497</v>
      </c>
    </row>
    <row r="93" spans="1:19" x14ac:dyDescent="0.35">
      <c r="A93" t="s">
        <v>104</v>
      </c>
      <c r="B93" t="s">
        <v>604</v>
      </c>
      <c r="C93" t="s">
        <v>1014</v>
      </c>
      <c r="D93" t="s">
        <v>1020</v>
      </c>
      <c r="E93" s="6">
        <v>22128</v>
      </c>
      <c r="F93" s="6">
        <v>83333.103057094879</v>
      </c>
      <c r="G93" t="s">
        <v>1023</v>
      </c>
      <c r="H93" s="3">
        <v>45485</v>
      </c>
      <c r="I93" s="3">
        <v>45280</v>
      </c>
      <c r="J93" s="3">
        <v>45472</v>
      </c>
      <c r="K93" t="s">
        <v>1025</v>
      </c>
      <c r="L93">
        <v>20</v>
      </c>
      <c r="M93" s="6">
        <v>9352</v>
      </c>
      <c r="O93">
        <f t="shared" si="5"/>
        <v>3.766</v>
      </c>
      <c r="P93">
        <f t="shared" si="6"/>
        <v>192</v>
      </c>
      <c r="Q93">
        <f t="shared" ca="1" si="7"/>
        <v>478</v>
      </c>
      <c r="R93" t="str">
        <f t="shared" si="8"/>
        <v>Normal</v>
      </c>
      <c r="S93">
        <f t="shared" si="9"/>
        <v>83333.103057094879</v>
      </c>
    </row>
    <row r="94" spans="1:19" x14ac:dyDescent="0.35">
      <c r="A94" t="s">
        <v>105</v>
      </c>
      <c r="B94" t="s">
        <v>605</v>
      </c>
      <c r="C94" t="s">
        <v>1016</v>
      </c>
      <c r="D94" t="s">
        <v>1019</v>
      </c>
      <c r="E94" s="6">
        <v>61383</v>
      </c>
      <c r="F94" s="6">
        <v>49213.714764434502</v>
      </c>
      <c r="G94" t="s">
        <v>1023</v>
      </c>
      <c r="H94" s="3">
        <v>45378</v>
      </c>
      <c r="I94" s="3">
        <v>45082</v>
      </c>
      <c r="J94" s="3">
        <v>45461</v>
      </c>
      <c r="K94" t="s">
        <v>1026</v>
      </c>
      <c r="L94">
        <v>62</v>
      </c>
      <c r="M94" s="6">
        <v>6591</v>
      </c>
      <c r="O94">
        <f t="shared" si="5"/>
        <v>0.80200000000000005</v>
      </c>
      <c r="P94">
        <f t="shared" si="6"/>
        <v>379</v>
      </c>
      <c r="Q94">
        <f t="shared" ca="1" si="7"/>
        <v>585</v>
      </c>
      <c r="R94" t="str">
        <f t="shared" si="8"/>
        <v>High</v>
      </c>
      <c r="S94">
        <f t="shared" si="9"/>
        <v>49213.714764434502</v>
      </c>
    </row>
    <row r="95" spans="1:19" x14ac:dyDescent="0.35">
      <c r="A95" t="s">
        <v>106</v>
      </c>
      <c r="B95" t="s">
        <v>606</v>
      </c>
      <c r="C95" t="s">
        <v>1016</v>
      </c>
      <c r="D95" t="s">
        <v>1017</v>
      </c>
      <c r="E95" s="6">
        <v>67545</v>
      </c>
      <c r="F95" s="6">
        <v>4156.0560359412102</v>
      </c>
      <c r="G95" t="s">
        <v>1023</v>
      </c>
      <c r="H95" s="3">
        <v>45355</v>
      </c>
      <c r="I95" s="3">
        <v>45132</v>
      </c>
      <c r="J95" s="3">
        <v>45325</v>
      </c>
      <c r="K95" t="s">
        <v>1025</v>
      </c>
      <c r="L95">
        <v>38</v>
      </c>
      <c r="M95" s="6">
        <v>5450</v>
      </c>
      <c r="O95">
        <f t="shared" si="5"/>
        <v>6.2E-2</v>
      </c>
      <c r="P95">
        <f t="shared" si="6"/>
        <v>193</v>
      </c>
      <c r="Q95">
        <f t="shared" ca="1" si="7"/>
        <v>608</v>
      </c>
      <c r="R95" t="str">
        <f t="shared" si="8"/>
        <v>High</v>
      </c>
      <c r="S95">
        <f t="shared" si="9"/>
        <v>4156.0560359412102</v>
      </c>
    </row>
    <row r="96" spans="1:19" x14ac:dyDescent="0.35">
      <c r="A96" t="s">
        <v>107</v>
      </c>
      <c r="B96" t="s">
        <v>607</v>
      </c>
      <c r="C96" t="s">
        <v>1016</v>
      </c>
      <c r="D96" t="s">
        <v>1018</v>
      </c>
      <c r="E96" s="6">
        <v>84180</v>
      </c>
      <c r="F96" s="6">
        <v>68263.887639890425</v>
      </c>
      <c r="G96" t="s">
        <v>1022</v>
      </c>
      <c r="H96" s="3">
        <v>45341</v>
      </c>
      <c r="I96" s="3">
        <v>45022</v>
      </c>
      <c r="J96" s="3">
        <v>45332</v>
      </c>
      <c r="K96" t="s">
        <v>1025</v>
      </c>
      <c r="L96">
        <v>28</v>
      </c>
      <c r="M96" s="6">
        <v>9214</v>
      </c>
      <c r="O96">
        <f t="shared" si="5"/>
        <v>0.81100000000000005</v>
      </c>
      <c r="P96">
        <f t="shared" si="6"/>
        <v>310</v>
      </c>
      <c r="Q96">
        <f t="shared" ca="1" si="7"/>
        <v>622</v>
      </c>
      <c r="R96" t="str">
        <f t="shared" si="8"/>
        <v>High</v>
      </c>
      <c r="S96">
        <f t="shared" si="9"/>
        <v>68263.887639890425</v>
      </c>
    </row>
    <row r="97" spans="1:19" x14ac:dyDescent="0.35">
      <c r="A97" t="s">
        <v>108</v>
      </c>
      <c r="B97" t="s">
        <v>608</v>
      </c>
      <c r="C97" t="s">
        <v>1016</v>
      </c>
      <c r="D97" t="s">
        <v>1017</v>
      </c>
      <c r="E97" s="6">
        <v>89958</v>
      </c>
      <c r="F97" s="6">
        <v>17906.649336671959</v>
      </c>
      <c r="G97" t="s">
        <v>1023</v>
      </c>
      <c r="H97" s="3">
        <v>45487</v>
      </c>
      <c r="I97" s="3">
        <v>45157</v>
      </c>
      <c r="J97" s="3">
        <v>45500</v>
      </c>
      <c r="K97" t="s">
        <v>1025</v>
      </c>
      <c r="L97">
        <v>46</v>
      </c>
      <c r="M97" s="6">
        <v>5811</v>
      </c>
      <c r="O97">
        <f t="shared" si="5"/>
        <v>0.19900000000000001</v>
      </c>
      <c r="P97">
        <f t="shared" si="6"/>
        <v>343</v>
      </c>
      <c r="Q97">
        <f t="shared" ca="1" si="7"/>
        <v>476</v>
      </c>
      <c r="R97" t="str">
        <f t="shared" si="8"/>
        <v>High</v>
      </c>
      <c r="S97">
        <f t="shared" si="9"/>
        <v>17906.649336671959</v>
      </c>
    </row>
    <row r="98" spans="1:19" x14ac:dyDescent="0.35">
      <c r="A98" t="s">
        <v>109</v>
      </c>
      <c r="B98" t="s">
        <v>609</v>
      </c>
      <c r="C98" t="s">
        <v>1016</v>
      </c>
      <c r="D98" t="s">
        <v>1021</v>
      </c>
      <c r="E98" s="6">
        <v>11865</v>
      </c>
      <c r="F98" s="6">
        <v>17042.25866208546</v>
      </c>
      <c r="G98" t="s">
        <v>1023</v>
      </c>
      <c r="H98" s="3">
        <v>45385</v>
      </c>
      <c r="I98" s="3">
        <v>44955</v>
      </c>
      <c r="J98" s="3">
        <v>45320</v>
      </c>
      <c r="K98" t="s">
        <v>1026</v>
      </c>
      <c r="L98">
        <v>53</v>
      </c>
      <c r="M98" s="6">
        <v>13814</v>
      </c>
      <c r="O98">
        <f t="shared" si="5"/>
        <v>1.4359999999999999</v>
      </c>
      <c r="P98">
        <f t="shared" si="6"/>
        <v>365</v>
      </c>
      <c r="Q98">
        <f t="shared" ca="1" si="7"/>
        <v>578</v>
      </c>
      <c r="R98" t="str">
        <f t="shared" si="8"/>
        <v>Normal</v>
      </c>
      <c r="S98">
        <f t="shared" si="9"/>
        <v>17042.25866208546</v>
      </c>
    </row>
    <row r="99" spans="1:19" x14ac:dyDescent="0.35">
      <c r="A99" t="s">
        <v>110</v>
      </c>
      <c r="B99" t="s">
        <v>610</v>
      </c>
      <c r="C99" t="s">
        <v>1014</v>
      </c>
      <c r="D99" t="s">
        <v>1017</v>
      </c>
      <c r="E99" s="6">
        <v>4219</v>
      </c>
      <c r="F99" s="6">
        <v>0</v>
      </c>
      <c r="G99" t="s">
        <v>1022</v>
      </c>
      <c r="H99" s="3">
        <v>45544</v>
      </c>
      <c r="I99" s="3">
        <v>45208</v>
      </c>
      <c r="J99" s="3">
        <v>45436</v>
      </c>
      <c r="K99" t="s">
        <v>1025</v>
      </c>
      <c r="L99">
        <v>63</v>
      </c>
      <c r="M99" s="6">
        <v>13791</v>
      </c>
      <c r="O99">
        <f t="shared" si="5"/>
        <v>0</v>
      </c>
      <c r="P99">
        <f t="shared" si="6"/>
        <v>228</v>
      </c>
      <c r="Q99">
        <f t="shared" ca="1" si="7"/>
        <v>419</v>
      </c>
      <c r="R99" t="str">
        <f t="shared" si="8"/>
        <v>Normal</v>
      </c>
      <c r="S99">
        <f t="shared" si="9"/>
        <v>0</v>
      </c>
    </row>
    <row r="100" spans="1:19" x14ac:dyDescent="0.35">
      <c r="A100" t="s">
        <v>111</v>
      </c>
      <c r="B100" t="s">
        <v>611</v>
      </c>
      <c r="C100" t="s">
        <v>1016</v>
      </c>
      <c r="D100" t="s">
        <v>1018</v>
      </c>
      <c r="E100" s="6">
        <v>41809</v>
      </c>
      <c r="F100" s="6">
        <v>42365.81646902208</v>
      </c>
      <c r="G100" t="s">
        <v>1023</v>
      </c>
      <c r="H100" s="3">
        <v>45352</v>
      </c>
      <c r="I100" s="3">
        <v>45091</v>
      </c>
      <c r="J100" s="3">
        <v>45318</v>
      </c>
      <c r="K100" t="s">
        <v>1026</v>
      </c>
      <c r="L100">
        <v>23</v>
      </c>
      <c r="M100" s="6">
        <v>12743</v>
      </c>
      <c r="O100">
        <f t="shared" si="5"/>
        <v>1.0129999999999999</v>
      </c>
      <c r="P100">
        <f t="shared" si="6"/>
        <v>227</v>
      </c>
      <c r="Q100">
        <f t="shared" ca="1" si="7"/>
        <v>611</v>
      </c>
      <c r="R100" t="str">
        <f t="shared" si="8"/>
        <v>Normal</v>
      </c>
      <c r="S100">
        <f t="shared" si="9"/>
        <v>42365.81646902208</v>
      </c>
    </row>
    <row r="101" spans="1:19" x14ac:dyDescent="0.35">
      <c r="A101" t="s">
        <v>112</v>
      </c>
      <c r="B101" t="s">
        <v>612</v>
      </c>
      <c r="C101" t="s">
        <v>1015</v>
      </c>
      <c r="D101" t="s">
        <v>1021</v>
      </c>
      <c r="E101" s="6">
        <v>7287</v>
      </c>
      <c r="F101" s="6">
        <v>32099.159216072479</v>
      </c>
      <c r="G101" t="s">
        <v>1022</v>
      </c>
      <c r="H101" s="3">
        <v>45513</v>
      </c>
      <c r="I101" s="3">
        <v>45012</v>
      </c>
      <c r="J101" s="3">
        <v>45494</v>
      </c>
      <c r="K101" t="s">
        <v>1026</v>
      </c>
      <c r="L101">
        <v>55</v>
      </c>
      <c r="M101" s="6">
        <v>7141</v>
      </c>
      <c r="O101">
        <f t="shared" si="5"/>
        <v>4.4050000000000002</v>
      </c>
      <c r="P101">
        <f t="shared" si="6"/>
        <v>482</v>
      </c>
      <c r="Q101">
        <f t="shared" ca="1" si="7"/>
        <v>450</v>
      </c>
      <c r="R101" t="str">
        <f t="shared" si="8"/>
        <v>Normal</v>
      </c>
      <c r="S101">
        <f t="shared" si="9"/>
        <v>32099.159216072479</v>
      </c>
    </row>
    <row r="102" spans="1:19" x14ac:dyDescent="0.35">
      <c r="A102" t="s">
        <v>113</v>
      </c>
      <c r="B102" t="s">
        <v>613</v>
      </c>
      <c r="C102" t="s">
        <v>1013</v>
      </c>
      <c r="D102" t="s">
        <v>1017</v>
      </c>
      <c r="E102" s="6">
        <v>36387</v>
      </c>
      <c r="F102" s="6">
        <v>77176.396907679082</v>
      </c>
      <c r="G102" t="s">
        <v>1023</v>
      </c>
      <c r="H102" s="3">
        <v>45303</v>
      </c>
      <c r="I102" s="3">
        <v>45030</v>
      </c>
      <c r="J102" s="3">
        <v>45320</v>
      </c>
      <c r="K102" t="s">
        <v>1025</v>
      </c>
      <c r="L102">
        <v>37</v>
      </c>
      <c r="M102" s="6">
        <v>14500</v>
      </c>
      <c r="O102">
        <f t="shared" si="5"/>
        <v>2.121</v>
      </c>
      <c r="P102">
        <f t="shared" si="6"/>
        <v>290</v>
      </c>
      <c r="Q102">
        <f t="shared" ca="1" si="7"/>
        <v>660</v>
      </c>
      <c r="R102" t="str">
        <f t="shared" si="8"/>
        <v>Normal</v>
      </c>
      <c r="S102">
        <f t="shared" si="9"/>
        <v>77176.396907679082</v>
      </c>
    </row>
    <row r="103" spans="1:19" x14ac:dyDescent="0.35">
      <c r="A103" t="s">
        <v>114</v>
      </c>
      <c r="B103" t="s">
        <v>614</v>
      </c>
      <c r="C103" t="s">
        <v>1016</v>
      </c>
      <c r="D103" t="s">
        <v>1021</v>
      </c>
      <c r="E103" s="6">
        <v>10512</v>
      </c>
      <c r="F103" s="6">
        <v>7566.8659085761883</v>
      </c>
      <c r="G103" t="s">
        <v>1024</v>
      </c>
      <c r="H103" s="3">
        <v>45322</v>
      </c>
      <c r="I103" s="3">
        <v>45224</v>
      </c>
      <c r="J103" s="3">
        <v>45497</v>
      </c>
      <c r="K103" t="s">
        <v>1025</v>
      </c>
      <c r="L103">
        <v>34</v>
      </c>
      <c r="M103" s="6">
        <v>10501</v>
      </c>
      <c r="O103">
        <f t="shared" si="5"/>
        <v>0.72</v>
      </c>
      <c r="P103">
        <f t="shared" si="6"/>
        <v>273</v>
      </c>
      <c r="Q103">
        <f t="shared" ca="1" si="7"/>
        <v>641</v>
      </c>
      <c r="R103" t="str">
        <f t="shared" si="8"/>
        <v>Normal</v>
      </c>
      <c r="S103">
        <f t="shared" si="9"/>
        <v>0</v>
      </c>
    </row>
    <row r="104" spans="1:19" x14ac:dyDescent="0.35">
      <c r="A104" t="s">
        <v>115</v>
      </c>
      <c r="B104" t="s">
        <v>615</v>
      </c>
      <c r="C104" t="s">
        <v>1016</v>
      </c>
      <c r="D104" t="s">
        <v>1020</v>
      </c>
      <c r="E104" s="6">
        <v>3342</v>
      </c>
      <c r="F104" s="6">
        <v>38161.031034175146</v>
      </c>
      <c r="G104" t="s">
        <v>1023</v>
      </c>
      <c r="H104" s="3">
        <v>45547</v>
      </c>
      <c r="I104" s="3">
        <v>45114</v>
      </c>
      <c r="J104" s="3">
        <v>45607</v>
      </c>
      <c r="K104" t="s">
        <v>1026</v>
      </c>
      <c r="L104">
        <v>32</v>
      </c>
      <c r="M104" s="6">
        <v>4708</v>
      </c>
      <c r="O104">
        <f t="shared" si="5"/>
        <v>11.419</v>
      </c>
      <c r="P104">
        <f t="shared" si="6"/>
        <v>493</v>
      </c>
      <c r="Q104">
        <f t="shared" ca="1" si="7"/>
        <v>416</v>
      </c>
      <c r="R104" t="str">
        <f t="shared" si="8"/>
        <v>Normal</v>
      </c>
      <c r="S104">
        <f t="shared" si="9"/>
        <v>38161.031034175146</v>
      </c>
    </row>
    <row r="105" spans="1:19" x14ac:dyDescent="0.35">
      <c r="A105" t="s">
        <v>116</v>
      </c>
      <c r="B105" t="s">
        <v>616</v>
      </c>
      <c r="C105" t="s">
        <v>1014</v>
      </c>
      <c r="D105" t="s">
        <v>1020</v>
      </c>
      <c r="E105" s="6">
        <v>65076</v>
      </c>
      <c r="F105" s="6">
        <v>55730.278152426363</v>
      </c>
      <c r="G105" t="s">
        <v>1023</v>
      </c>
      <c r="H105" s="3">
        <v>45508</v>
      </c>
      <c r="I105" s="3">
        <v>45038</v>
      </c>
      <c r="J105" s="3">
        <v>45490</v>
      </c>
      <c r="K105" t="s">
        <v>1025</v>
      </c>
      <c r="L105">
        <v>38</v>
      </c>
      <c r="M105" s="6">
        <v>3991</v>
      </c>
      <c r="O105">
        <f t="shared" si="5"/>
        <v>0.85599999999999998</v>
      </c>
      <c r="P105">
        <f t="shared" si="6"/>
        <v>452</v>
      </c>
      <c r="Q105">
        <f t="shared" ca="1" si="7"/>
        <v>455</v>
      </c>
      <c r="R105" t="str">
        <f t="shared" si="8"/>
        <v>High</v>
      </c>
      <c r="S105">
        <f t="shared" si="9"/>
        <v>55730.278152426363</v>
      </c>
    </row>
    <row r="106" spans="1:19" x14ac:dyDescent="0.35">
      <c r="A106" t="s">
        <v>117</v>
      </c>
      <c r="B106" t="s">
        <v>617</v>
      </c>
      <c r="C106" t="s">
        <v>1016</v>
      </c>
      <c r="D106" t="s">
        <v>1017</v>
      </c>
      <c r="E106" s="6">
        <v>21216</v>
      </c>
      <c r="F106" s="6">
        <v>15846.30925732196</v>
      </c>
      <c r="G106" t="s">
        <v>1023</v>
      </c>
      <c r="H106" s="3">
        <v>45435</v>
      </c>
      <c r="I106" s="3">
        <v>45200</v>
      </c>
      <c r="J106" s="3">
        <v>45324</v>
      </c>
      <c r="K106" t="s">
        <v>1026</v>
      </c>
      <c r="L106">
        <v>68</v>
      </c>
      <c r="M106" s="6">
        <v>10463</v>
      </c>
      <c r="O106">
        <f t="shared" si="5"/>
        <v>0.747</v>
      </c>
      <c r="P106">
        <f t="shared" si="6"/>
        <v>124</v>
      </c>
      <c r="Q106">
        <f t="shared" ca="1" si="7"/>
        <v>528</v>
      </c>
      <c r="R106" t="str">
        <f t="shared" si="8"/>
        <v>Normal</v>
      </c>
      <c r="S106">
        <f t="shared" si="9"/>
        <v>15846.30925732196</v>
      </c>
    </row>
    <row r="107" spans="1:19" x14ac:dyDescent="0.35">
      <c r="A107" t="s">
        <v>118</v>
      </c>
      <c r="B107" t="s">
        <v>618</v>
      </c>
      <c r="C107" t="s">
        <v>1016</v>
      </c>
      <c r="D107" t="s">
        <v>1021</v>
      </c>
      <c r="E107" s="6">
        <v>95070</v>
      </c>
      <c r="F107" s="6">
        <v>8178.7919832370744</v>
      </c>
      <c r="G107" t="s">
        <v>1023</v>
      </c>
      <c r="H107" s="3">
        <v>45396</v>
      </c>
      <c r="I107" s="3">
        <v>44988</v>
      </c>
      <c r="J107" s="3">
        <v>45543</v>
      </c>
      <c r="K107" t="s">
        <v>1025</v>
      </c>
      <c r="L107">
        <v>25</v>
      </c>
      <c r="M107" s="6">
        <v>13834</v>
      </c>
      <c r="O107">
        <f t="shared" si="5"/>
        <v>8.5999999999999993E-2</v>
      </c>
      <c r="P107">
        <f t="shared" si="6"/>
        <v>555</v>
      </c>
      <c r="Q107">
        <f t="shared" ca="1" si="7"/>
        <v>567</v>
      </c>
      <c r="R107" t="str">
        <f t="shared" si="8"/>
        <v>High</v>
      </c>
      <c r="S107">
        <f t="shared" si="9"/>
        <v>8178.7919832370744</v>
      </c>
    </row>
    <row r="108" spans="1:19" x14ac:dyDescent="0.35">
      <c r="A108" t="s">
        <v>119</v>
      </c>
      <c r="B108" t="s">
        <v>619</v>
      </c>
      <c r="C108" t="s">
        <v>1016</v>
      </c>
      <c r="D108" t="s">
        <v>1018</v>
      </c>
      <c r="E108" s="6">
        <v>81767</v>
      </c>
      <c r="F108" s="6">
        <v>19419.66361659898</v>
      </c>
      <c r="G108" t="s">
        <v>1022</v>
      </c>
      <c r="H108" s="3">
        <v>45337</v>
      </c>
      <c r="I108" s="3">
        <v>45168</v>
      </c>
      <c r="J108" s="3">
        <v>45334</v>
      </c>
      <c r="K108" t="s">
        <v>1026</v>
      </c>
      <c r="L108">
        <v>67</v>
      </c>
      <c r="M108" s="6">
        <v>14278</v>
      </c>
      <c r="O108">
        <f t="shared" si="5"/>
        <v>0.23799999999999999</v>
      </c>
      <c r="P108">
        <f t="shared" si="6"/>
        <v>166</v>
      </c>
      <c r="Q108">
        <f t="shared" ca="1" si="7"/>
        <v>626</v>
      </c>
      <c r="R108" t="str">
        <f t="shared" si="8"/>
        <v>High</v>
      </c>
      <c r="S108">
        <f t="shared" si="9"/>
        <v>19419.66361659898</v>
      </c>
    </row>
    <row r="109" spans="1:19" x14ac:dyDescent="0.35">
      <c r="A109" t="s">
        <v>120</v>
      </c>
      <c r="B109" t="s">
        <v>620</v>
      </c>
      <c r="C109" t="s">
        <v>1014</v>
      </c>
      <c r="D109" t="s">
        <v>1017</v>
      </c>
      <c r="E109" s="6">
        <v>99829</v>
      </c>
      <c r="F109" s="6">
        <v>50661.348801355824</v>
      </c>
      <c r="G109" t="s">
        <v>1024</v>
      </c>
      <c r="H109" s="3">
        <v>45518</v>
      </c>
      <c r="I109" s="3">
        <v>45188</v>
      </c>
      <c r="J109" s="3">
        <v>45453</v>
      </c>
      <c r="K109" t="s">
        <v>1026</v>
      </c>
      <c r="L109">
        <v>31</v>
      </c>
      <c r="M109" s="6">
        <v>12014</v>
      </c>
      <c r="O109">
        <f t="shared" si="5"/>
        <v>0.50700000000000001</v>
      </c>
      <c r="P109">
        <f t="shared" si="6"/>
        <v>265</v>
      </c>
      <c r="Q109">
        <f t="shared" ca="1" si="7"/>
        <v>445</v>
      </c>
      <c r="R109" t="str">
        <f t="shared" si="8"/>
        <v>High</v>
      </c>
      <c r="S109">
        <f t="shared" si="9"/>
        <v>0</v>
      </c>
    </row>
    <row r="110" spans="1:19" x14ac:dyDescent="0.35">
      <c r="A110" t="s">
        <v>121</v>
      </c>
      <c r="B110" t="s">
        <v>621</v>
      </c>
      <c r="C110" t="s">
        <v>1016</v>
      </c>
      <c r="D110" t="s">
        <v>1020</v>
      </c>
      <c r="E110" s="6">
        <v>28614</v>
      </c>
      <c r="F110" s="6">
        <v>0</v>
      </c>
      <c r="G110" t="s">
        <v>1023</v>
      </c>
      <c r="H110" s="3">
        <v>45503</v>
      </c>
      <c r="I110" s="3">
        <v>45067</v>
      </c>
      <c r="J110" s="3">
        <v>45337</v>
      </c>
      <c r="K110" t="s">
        <v>1026</v>
      </c>
      <c r="L110">
        <v>56</v>
      </c>
      <c r="M110" s="6">
        <v>5273</v>
      </c>
      <c r="O110">
        <f t="shared" si="5"/>
        <v>0</v>
      </c>
      <c r="P110">
        <f t="shared" si="6"/>
        <v>270</v>
      </c>
      <c r="Q110">
        <f t="shared" ca="1" si="7"/>
        <v>460</v>
      </c>
      <c r="R110" t="str">
        <f t="shared" si="8"/>
        <v>Normal</v>
      </c>
      <c r="S110">
        <f t="shared" si="9"/>
        <v>0</v>
      </c>
    </row>
    <row r="111" spans="1:19" x14ac:dyDescent="0.35">
      <c r="A111" t="s">
        <v>122</v>
      </c>
      <c r="B111" t="s">
        <v>622</v>
      </c>
      <c r="C111" t="s">
        <v>1013</v>
      </c>
      <c r="D111" t="s">
        <v>1020</v>
      </c>
      <c r="E111" s="6">
        <v>38258</v>
      </c>
      <c r="F111" s="6">
        <v>63727.504827433717</v>
      </c>
      <c r="G111" t="s">
        <v>1023</v>
      </c>
      <c r="H111" s="3">
        <v>45582</v>
      </c>
      <c r="I111" s="3">
        <v>45104</v>
      </c>
      <c r="J111" s="3">
        <v>45527</v>
      </c>
      <c r="K111" t="s">
        <v>1026</v>
      </c>
      <c r="L111">
        <v>36</v>
      </c>
      <c r="M111" s="6">
        <v>6538</v>
      </c>
      <c r="O111">
        <f t="shared" si="5"/>
        <v>1.6659999999999999</v>
      </c>
      <c r="P111">
        <f t="shared" si="6"/>
        <v>423</v>
      </c>
      <c r="Q111">
        <f t="shared" ca="1" si="7"/>
        <v>381</v>
      </c>
      <c r="R111" t="str">
        <f t="shared" si="8"/>
        <v>Normal</v>
      </c>
      <c r="S111">
        <f t="shared" si="9"/>
        <v>63727.504827433717</v>
      </c>
    </row>
    <row r="112" spans="1:19" x14ac:dyDescent="0.35">
      <c r="A112" t="s">
        <v>123</v>
      </c>
      <c r="B112" t="s">
        <v>623</v>
      </c>
      <c r="C112" t="s">
        <v>1014</v>
      </c>
      <c r="D112" t="s">
        <v>1017</v>
      </c>
      <c r="E112" s="6">
        <v>95789</v>
      </c>
      <c r="F112" s="6">
        <v>42973.783261150384</v>
      </c>
      <c r="G112" t="s">
        <v>1022</v>
      </c>
      <c r="H112" s="3">
        <v>45470</v>
      </c>
      <c r="I112" s="3">
        <v>45234</v>
      </c>
      <c r="J112" s="3">
        <v>45644</v>
      </c>
      <c r="K112" t="s">
        <v>1025</v>
      </c>
      <c r="L112">
        <v>42</v>
      </c>
      <c r="M112" s="6">
        <v>14541</v>
      </c>
      <c r="O112">
        <f t="shared" si="5"/>
        <v>0.44900000000000001</v>
      </c>
      <c r="P112">
        <f t="shared" si="6"/>
        <v>410</v>
      </c>
      <c r="Q112">
        <f t="shared" ca="1" si="7"/>
        <v>493</v>
      </c>
      <c r="R112" t="str">
        <f t="shared" si="8"/>
        <v>High</v>
      </c>
      <c r="S112">
        <f t="shared" si="9"/>
        <v>42973.783261150384</v>
      </c>
    </row>
    <row r="113" spans="1:19" x14ac:dyDescent="0.35">
      <c r="A113" t="s">
        <v>124</v>
      </c>
      <c r="B113" t="s">
        <v>624</v>
      </c>
      <c r="C113" t="s">
        <v>1013</v>
      </c>
      <c r="D113" t="s">
        <v>1021</v>
      </c>
      <c r="E113" s="6">
        <v>44078</v>
      </c>
      <c r="F113" s="6">
        <v>0</v>
      </c>
      <c r="G113" t="s">
        <v>1022</v>
      </c>
      <c r="H113" s="3">
        <v>45308</v>
      </c>
      <c r="I113" s="3">
        <v>45235</v>
      </c>
      <c r="J113" s="3">
        <v>45330</v>
      </c>
      <c r="K113" t="s">
        <v>1025</v>
      </c>
      <c r="L113">
        <v>45</v>
      </c>
      <c r="M113" s="6">
        <v>10712</v>
      </c>
      <c r="O113">
        <f t="shared" si="5"/>
        <v>0</v>
      </c>
      <c r="P113">
        <f t="shared" si="6"/>
        <v>95</v>
      </c>
      <c r="Q113">
        <f t="shared" ca="1" si="7"/>
        <v>655</v>
      </c>
      <c r="R113" t="str">
        <f t="shared" si="8"/>
        <v>Normal</v>
      </c>
      <c r="S113">
        <f t="shared" si="9"/>
        <v>0</v>
      </c>
    </row>
    <row r="114" spans="1:19" x14ac:dyDescent="0.35">
      <c r="A114" t="s">
        <v>125</v>
      </c>
      <c r="B114" t="s">
        <v>625</v>
      </c>
      <c r="C114" t="s">
        <v>1014</v>
      </c>
      <c r="D114" t="s">
        <v>1020</v>
      </c>
      <c r="E114" s="6">
        <v>85524</v>
      </c>
      <c r="F114" s="6">
        <v>34313.926662477912</v>
      </c>
      <c r="G114" t="s">
        <v>1023</v>
      </c>
      <c r="H114" s="3">
        <v>45510</v>
      </c>
      <c r="I114" s="3">
        <v>45268</v>
      </c>
      <c r="J114" s="3">
        <v>45467</v>
      </c>
      <c r="K114" t="s">
        <v>1026</v>
      </c>
      <c r="L114">
        <v>48</v>
      </c>
      <c r="M114" s="6">
        <v>11168</v>
      </c>
      <c r="O114">
        <f t="shared" si="5"/>
        <v>0.40100000000000002</v>
      </c>
      <c r="P114">
        <f t="shared" si="6"/>
        <v>199</v>
      </c>
      <c r="Q114">
        <f t="shared" ca="1" si="7"/>
        <v>453</v>
      </c>
      <c r="R114" t="str">
        <f t="shared" si="8"/>
        <v>High</v>
      </c>
      <c r="S114">
        <f t="shared" si="9"/>
        <v>34313.926662477912</v>
      </c>
    </row>
    <row r="115" spans="1:19" x14ac:dyDescent="0.35">
      <c r="A115" t="s">
        <v>126</v>
      </c>
      <c r="B115" t="s">
        <v>626</v>
      </c>
      <c r="C115" t="s">
        <v>1016</v>
      </c>
      <c r="D115" t="s">
        <v>1021</v>
      </c>
      <c r="E115" s="6">
        <v>98573</v>
      </c>
      <c r="F115" s="6">
        <v>50589.193792504491</v>
      </c>
      <c r="G115" t="s">
        <v>1023</v>
      </c>
      <c r="H115" s="3">
        <v>45347</v>
      </c>
      <c r="I115" s="3">
        <v>45074</v>
      </c>
      <c r="J115" s="3">
        <v>45499</v>
      </c>
      <c r="K115" t="s">
        <v>1026</v>
      </c>
      <c r="L115">
        <v>52</v>
      </c>
      <c r="M115" s="6">
        <v>5722</v>
      </c>
      <c r="O115">
        <f t="shared" si="5"/>
        <v>0.51300000000000001</v>
      </c>
      <c r="P115">
        <f t="shared" si="6"/>
        <v>425</v>
      </c>
      <c r="Q115">
        <f t="shared" ca="1" si="7"/>
        <v>616</v>
      </c>
      <c r="R115" t="str">
        <f t="shared" si="8"/>
        <v>High</v>
      </c>
      <c r="S115">
        <f t="shared" si="9"/>
        <v>50589.193792504491</v>
      </c>
    </row>
    <row r="116" spans="1:19" x14ac:dyDescent="0.35">
      <c r="A116" t="s">
        <v>127</v>
      </c>
      <c r="B116" t="s">
        <v>627</v>
      </c>
      <c r="C116" t="s">
        <v>1013</v>
      </c>
      <c r="D116" t="s">
        <v>1020</v>
      </c>
      <c r="E116" s="6">
        <v>14219</v>
      </c>
      <c r="F116" s="6">
        <v>22866.98703830158</v>
      </c>
      <c r="G116" t="s">
        <v>1023</v>
      </c>
      <c r="H116" s="3">
        <v>45370</v>
      </c>
      <c r="I116" s="3">
        <v>45002</v>
      </c>
      <c r="J116" s="3">
        <v>45372</v>
      </c>
      <c r="K116" t="s">
        <v>1025</v>
      </c>
      <c r="L116">
        <v>46</v>
      </c>
      <c r="M116" s="6">
        <v>5551</v>
      </c>
      <c r="O116">
        <f t="shared" si="5"/>
        <v>1.6080000000000001</v>
      </c>
      <c r="P116">
        <f t="shared" si="6"/>
        <v>370</v>
      </c>
      <c r="Q116">
        <f t="shared" ca="1" si="7"/>
        <v>593</v>
      </c>
      <c r="R116" t="str">
        <f t="shared" si="8"/>
        <v>Normal</v>
      </c>
      <c r="S116">
        <f t="shared" si="9"/>
        <v>22866.98703830158</v>
      </c>
    </row>
    <row r="117" spans="1:19" x14ac:dyDescent="0.35">
      <c r="A117" t="s">
        <v>128</v>
      </c>
      <c r="B117" t="s">
        <v>628</v>
      </c>
      <c r="C117" t="s">
        <v>1014</v>
      </c>
      <c r="D117" t="s">
        <v>1020</v>
      </c>
      <c r="E117" s="6">
        <v>2235</v>
      </c>
      <c r="F117" s="6">
        <v>48959.392668540808</v>
      </c>
      <c r="G117" t="s">
        <v>1023</v>
      </c>
      <c r="H117" s="3">
        <v>45380</v>
      </c>
      <c r="I117" s="3">
        <v>44959</v>
      </c>
      <c r="J117" s="3">
        <v>45439</v>
      </c>
      <c r="K117" t="s">
        <v>1025</v>
      </c>
      <c r="L117">
        <v>44</v>
      </c>
      <c r="M117" s="6">
        <v>14297</v>
      </c>
      <c r="O117">
        <f t="shared" si="5"/>
        <v>21.905999999999999</v>
      </c>
      <c r="P117">
        <f t="shared" si="6"/>
        <v>480</v>
      </c>
      <c r="Q117">
        <f t="shared" ca="1" si="7"/>
        <v>583</v>
      </c>
      <c r="R117" t="str">
        <f t="shared" si="8"/>
        <v>Normal</v>
      </c>
      <c r="S117">
        <f t="shared" si="9"/>
        <v>48959.392668540808</v>
      </c>
    </row>
    <row r="118" spans="1:19" x14ac:dyDescent="0.35">
      <c r="A118" t="s">
        <v>129</v>
      </c>
      <c r="B118" t="s">
        <v>629</v>
      </c>
      <c r="C118" t="s">
        <v>1015</v>
      </c>
      <c r="D118" t="s">
        <v>1019</v>
      </c>
      <c r="E118" s="6">
        <v>44929</v>
      </c>
      <c r="F118" s="6">
        <v>20465.146288192522</v>
      </c>
      <c r="G118" t="s">
        <v>1023</v>
      </c>
      <c r="H118" s="3">
        <v>45382</v>
      </c>
      <c r="I118" s="3">
        <v>44990</v>
      </c>
      <c r="J118" s="3">
        <v>45557</v>
      </c>
      <c r="K118" t="s">
        <v>1025</v>
      </c>
      <c r="L118">
        <v>29</v>
      </c>
      <c r="M118" s="6">
        <v>12965</v>
      </c>
      <c r="O118">
        <f t="shared" si="5"/>
        <v>0.45500000000000002</v>
      </c>
      <c r="P118">
        <f t="shared" si="6"/>
        <v>567</v>
      </c>
      <c r="Q118">
        <f t="shared" ca="1" si="7"/>
        <v>581</v>
      </c>
      <c r="R118" t="str">
        <f t="shared" si="8"/>
        <v>Normal</v>
      </c>
      <c r="S118">
        <f t="shared" si="9"/>
        <v>20465.146288192522</v>
      </c>
    </row>
    <row r="119" spans="1:19" x14ac:dyDescent="0.35">
      <c r="A119" t="s">
        <v>130</v>
      </c>
      <c r="B119" t="s">
        <v>630</v>
      </c>
      <c r="C119" t="s">
        <v>1016</v>
      </c>
      <c r="D119" t="s">
        <v>1020</v>
      </c>
      <c r="E119" s="6">
        <v>69444</v>
      </c>
      <c r="F119" s="6">
        <v>0</v>
      </c>
      <c r="G119" t="s">
        <v>1023</v>
      </c>
      <c r="H119" s="3">
        <v>45497</v>
      </c>
      <c r="I119" s="3">
        <v>44955</v>
      </c>
      <c r="J119" s="3">
        <v>45377</v>
      </c>
      <c r="K119" t="s">
        <v>1025</v>
      </c>
      <c r="L119">
        <v>66</v>
      </c>
      <c r="M119" s="6">
        <v>12744</v>
      </c>
      <c r="O119">
        <f t="shared" si="5"/>
        <v>0</v>
      </c>
      <c r="P119">
        <f t="shared" si="6"/>
        <v>422</v>
      </c>
      <c r="Q119">
        <f t="shared" ca="1" si="7"/>
        <v>466</v>
      </c>
      <c r="R119" t="str">
        <f t="shared" si="8"/>
        <v>High</v>
      </c>
      <c r="S119">
        <f t="shared" si="9"/>
        <v>0</v>
      </c>
    </row>
    <row r="120" spans="1:19" x14ac:dyDescent="0.35">
      <c r="A120" t="s">
        <v>131</v>
      </c>
      <c r="B120" t="s">
        <v>631</v>
      </c>
      <c r="C120" t="s">
        <v>1014</v>
      </c>
      <c r="D120" t="s">
        <v>1018</v>
      </c>
      <c r="E120" s="6">
        <v>10567</v>
      </c>
      <c r="F120" s="6">
        <v>48779.546597472137</v>
      </c>
      <c r="G120" t="s">
        <v>1023</v>
      </c>
      <c r="H120" s="3">
        <v>45399</v>
      </c>
      <c r="I120" s="3">
        <v>45117</v>
      </c>
      <c r="J120" s="3">
        <v>45391</v>
      </c>
      <c r="K120" t="s">
        <v>1025</v>
      </c>
      <c r="L120">
        <v>42</v>
      </c>
      <c r="M120" s="6">
        <v>4832</v>
      </c>
      <c r="O120">
        <f t="shared" si="5"/>
        <v>4.6159999999999997</v>
      </c>
      <c r="P120">
        <f t="shared" si="6"/>
        <v>274</v>
      </c>
      <c r="Q120">
        <f t="shared" ca="1" si="7"/>
        <v>564</v>
      </c>
      <c r="R120" t="str">
        <f t="shared" si="8"/>
        <v>Normal</v>
      </c>
      <c r="S120">
        <f t="shared" si="9"/>
        <v>48779.546597472137</v>
      </c>
    </row>
    <row r="121" spans="1:19" x14ac:dyDescent="0.35">
      <c r="A121" t="s">
        <v>132</v>
      </c>
      <c r="B121" t="s">
        <v>632</v>
      </c>
      <c r="C121" t="s">
        <v>1015</v>
      </c>
      <c r="D121" t="s">
        <v>1017</v>
      </c>
      <c r="E121" s="6">
        <v>72792</v>
      </c>
      <c r="F121" s="6">
        <v>14495.887596801849</v>
      </c>
      <c r="G121" t="s">
        <v>1022</v>
      </c>
      <c r="H121" s="3">
        <v>45328</v>
      </c>
      <c r="I121" s="3">
        <v>44947</v>
      </c>
      <c r="J121" s="3">
        <v>45406</v>
      </c>
      <c r="K121" t="s">
        <v>1025</v>
      </c>
      <c r="L121">
        <v>40</v>
      </c>
      <c r="M121" s="6">
        <v>14099</v>
      </c>
      <c r="O121">
        <f t="shared" si="5"/>
        <v>0.19900000000000001</v>
      </c>
      <c r="P121">
        <f t="shared" si="6"/>
        <v>459</v>
      </c>
      <c r="Q121">
        <f t="shared" ca="1" si="7"/>
        <v>635</v>
      </c>
      <c r="R121" t="str">
        <f t="shared" si="8"/>
        <v>High</v>
      </c>
      <c r="S121">
        <f t="shared" si="9"/>
        <v>14495.887596801849</v>
      </c>
    </row>
    <row r="122" spans="1:19" x14ac:dyDescent="0.35">
      <c r="A122" t="s">
        <v>133</v>
      </c>
      <c r="B122" t="s">
        <v>633</v>
      </c>
      <c r="C122" t="s">
        <v>1014</v>
      </c>
      <c r="D122" t="s">
        <v>1017</v>
      </c>
      <c r="E122" s="6">
        <v>67441</v>
      </c>
      <c r="F122" s="6">
        <v>43848.68906785921</v>
      </c>
      <c r="G122" t="s">
        <v>1023</v>
      </c>
      <c r="H122" s="3">
        <v>45294</v>
      </c>
      <c r="I122" s="3">
        <v>45268</v>
      </c>
      <c r="J122" s="3">
        <v>45469</v>
      </c>
      <c r="K122" t="s">
        <v>1026</v>
      </c>
      <c r="L122">
        <v>40</v>
      </c>
      <c r="M122" s="6">
        <v>7679</v>
      </c>
      <c r="O122">
        <f t="shared" si="5"/>
        <v>0.65</v>
      </c>
      <c r="P122">
        <f t="shared" si="6"/>
        <v>201</v>
      </c>
      <c r="Q122">
        <f t="shared" ca="1" si="7"/>
        <v>669</v>
      </c>
      <c r="R122" t="str">
        <f t="shared" si="8"/>
        <v>High</v>
      </c>
      <c r="S122">
        <f t="shared" si="9"/>
        <v>43848.68906785921</v>
      </c>
    </row>
    <row r="123" spans="1:19" x14ac:dyDescent="0.35">
      <c r="A123" t="s">
        <v>134</v>
      </c>
      <c r="B123" t="s">
        <v>634</v>
      </c>
      <c r="C123" t="s">
        <v>1015</v>
      </c>
      <c r="D123" t="s">
        <v>1021</v>
      </c>
      <c r="E123" s="6">
        <v>86555</v>
      </c>
      <c r="F123" s="6">
        <v>0</v>
      </c>
      <c r="G123" t="s">
        <v>1023</v>
      </c>
      <c r="H123" s="3">
        <v>45452</v>
      </c>
      <c r="I123" s="3">
        <v>45135</v>
      </c>
      <c r="J123" s="3">
        <v>45372</v>
      </c>
      <c r="K123" t="s">
        <v>1025</v>
      </c>
      <c r="L123">
        <v>62</v>
      </c>
      <c r="M123" s="6">
        <v>8579</v>
      </c>
      <c r="O123">
        <f t="shared" si="5"/>
        <v>0</v>
      </c>
      <c r="P123">
        <f t="shared" si="6"/>
        <v>237</v>
      </c>
      <c r="Q123">
        <f t="shared" ca="1" si="7"/>
        <v>511</v>
      </c>
      <c r="R123" t="str">
        <f t="shared" si="8"/>
        <v>High</v>
      </c>
      <c r="S123">
        <f t="shared" si="9"/>
        <v>0</v>
      </c>
    </row>
    <row r="124" spans="1:19" x14ac:dyDescent="0.35">
      <c r="A124" t="s">
        <v>135</v>
      </c>
      <c r="B124" t="s">
        <v>635</v>
      </c>
      <c r="C124" t="s">
        <v>1016</v>
      </c>
      <c r="D124" t="s">
        <v>1020</v>
      </c>
      <c r="E124" s="6">
        <v>75698</v>
      </c>
      <c r="F124" s="6">
        <v>24879.846540345839</v>
      </c>
      <c r="G124" t="s">
        <v>1023</v>
      </c>
      <c r="H124" s="3">
        <v>45426</v>
      </c>
      <c r="I124" s="3">
        <v>45271</v>
      </c>
      <c r="J124" s="3">
        <v>45623</v>
      </c>
      <c r="K124" t="s">
        <v>1025</v>
      </c>
      <c r="L124">
        <v>32</v>
      </c>
      <c r="M124" s="6">
        <v>2152</v>
      </c>
      <c r="O124">
        <f t="shared" si="5"/>
        <v>0.32900000000000001</v>
      </c>
      <c r="P124">
        <f t="shared" si="6"/>
        <v>352</v>
      </c>
      <c r="Q124">
        <f t="shared" ca="1" si="7"/>
        <v>537</v>
      </c>
      <c r="R124" t="str">
        <f t="shared" si="8"/>
        <v>High</v>
      </c>
      <c r="S124">
        <f t="shared" si="9"/>
        <v>24879.846540345839</v>
      </c>
    </row>
    <row r="125" spans="1:19" x14ac:dyDescent="0.35">
      <c r="A125" t="s">
        <v>136</v>
      </c>
      <c r="B125" t="s">
        <v>636</v>
      </c>
      <c r="C125" t="s">
        <v>1013</v>
      </c>
      <c r="D125" t="s">
        <v>1018</v>
      </c>
      <c r="E125" s="6">
        <v>7415</v>
      </c>
      <c r="F125" s="6">
        <v>18171.26164553834</v>
      </c>
      <c r="G125" t="s">
        <v>1023</v>
      </c>
      <c r="H125" s="3">
        <v>45488</v>
      </c>
      <c r="I125" s="3">
        <v>45058</v>
      </c>
      <c r="J125" s="3">
        <v>45565</v>
      </c>
      <c r="K125" t="s">
        <v>1026</v>
      </c>
      <c r="L125">
        <v>56</v>
      </c>
      <c r="M125" s="6">
        <v>7754</v>
      </c>
      <c r="O125">
        <f t="shared" si="5"/>
        <v>2.4510000000000001</v>
      </c>
      <c r="P125">
        <f t="shared" si="6"/>
        <v>507</v>
      </c>
      <c r="Q125">
        <f t="shared" ca="1" si="7"/>
        <v>475</v>
      </c>
      <c r="R125" t="str">
        <f t="shared" si="8"/>
        <v>Normal</v>
      </c>
      <c r="S125">
        <f t="shared" si="9"/>
        <v>18171.26164553834</v>
      </c>
    </row>
    <row r="126" spans="1:19" x14ac:dyDescent="0.35">
      <c r="A126" t="s">
        <v>137</v>
      </c>
      <c r="B126" t="s">
        <v>637</v>
      </c>
      <c r="C126" t="s">
        <v>1015</v>
      </c>
      <c r="D126" t="s">
        <v>1021</v>
      </c>
      <c r="E126" s="6">
        <v>38159</v>
      </c>
      <c r="F126" s="6">
        <v>33186.029785563587</v>
      </c>
      <c r="G126" t="s">
        <v>1023</v>
      </c>
      <c r="H126" s="3">
        <v>45490</v>
      </c>
      <c r="I126" s="3">
        <v>45032</v>
      </c>
      <c r="J126" s="3">
        <v>45368</v>
      </c>
      <c r="K126" t="s">
        <v>1025</v>
      </c>
      <c r="L126">
        <v>52</v>
      </c>
      <c r="M126" s="6">
        <v>13156</v>
      </c>
      <c r="O126">
        <f t="shared" si="5"/>
        <v>0.87</v>
      </c>
      <c r="P126">
        <f t="shared" si="6"/>
        <v>336</v>
      </c>
      <c r="Q126">
        <f t="shared" ca="1" si="7"/>
        <v>473</v>
      </c>
      <c r="R126" t="str">
        <f t="shared" si="8"/>
        <v>Normal</v>
      </c>
      <c r="S126">
        <f t="shared" si="9"/>
        <v>33186.029785563587</v>
      </c>
    </row>
    <row r="127" spans="1:19" x14ac:dyDescent="0.35">
      <c r="A127" t="s">
        <v>138</v>
      </c>
      <c r="B127" t="s">
        <v>638</v>
      </c>
      <c r="C127" t="s">
        <v>1014</v>
      </c>
      <c r="D127" t="s">
        <v>1019</v>
      </c>
      <c r="E127" s="6">
        <v>45925</v>
      </c>
      <c r="F127" s="6">
        <v>17347.151496284499</v>
      </c>
      <c r="G127" t="s">
        <v>1023</v>
      </c>
      <c r="H127" s="3">
        <v>45562</v>
      </c>
      <c r="I127" s="3">
        <v>45285</v>
      </c>
      <c r="J127" s="3">
        <v>45509</v>
      </c>
      <c r="K127" t="s">
        <v>1025</v>
      </c>
      <c r="L127">
        <v>43</v>
      </c>
      <c r="M127" s="6">
        <v>13108</v>
      </c>
      <c r="O127">
        <f t="shared" si="5"/>
        <v>0.378</v>
      </c>
      <c r="P127">
        <f t="shared" si="6"/>
        <v>224</v>
      </c>
      <c r="Q127">
        <f t="shared" ca="1" si="7"/>
        <v>401</v>
      </c>
      <c r="R127" t="str">
        <f t="shared" si="8"/>
        <v>Normal</v>
      </c>
      <c r="S127">
        <f t="shared" si="9"/>
        <v>17347.151496284499</v>
      </c>
    </row>
    <row r="128" spans="1:19" x14ac:dyDescent="0.35">
      <c r="A128" t="s">
        <v>139</v>
      </c>
      <c r="B128" t="s">
        <v>639</v>
      </c>
      <c r="C128" t="s">
        <v>1016</v>
      </c>
      <c r="D128" t="s">
        <v>1021</v>
      </c>
      <c r="E128" s="6">
        <v>7951</v>
      </c>
      <c r="F128" s="6">
        <v>48479.28751503746</v>
      </c>
      <c r="G128" t="s">
        <v>1023</v>
      </c>
      <c r="H128" s="3">
        <v>45378</v>
      </c>
      <c r="I128" s="3">
        <v>45146</v>
      </c>
      <c r="J128" s="3">
        <v>45586</v>
      </c>
      <c r="K128" t="s">
        <v>1025</v>
      </c>
      <c r="L128">
        <v>63</v>
      </c>
      <c r="M128" s="6">
        <v>4800</v>
      </c>
      <c r="O128">
        <f t="shared" si="5"/>
        <v>6.0970000000000004</v>
      </c>
      <c r="P128">
        <f t="shared" si="6"/>
        <v>440</v>
      </c>
      <c r="Q128">
        <f t="shared" ca="1" si="7"/>
        <v>585</v>
      </c>
      <c r="R128" t="str">
        <f t="shared" si="8"/>
        <v>Normal</v>
      </c>
      <c r="S128">
        <f t="shared" si="9"/>
        <v>48479.28751503746</v>
      </c>
    </row>
    <row r="129" spans="1:19" x14ac:dyDescent="0.35">
      <c r="A129" t="s">
        <v>140</v>
      </c>
      <c r="B129" t="s">
        <v>640</v>
      </c>
      <c r="C129" t="s">
        <v>1015</v>
      </c>
      <c r="D129" t="s">
        <v>1021</v>
      </c>
      <c r="E129" s="6">
        <v>89388</v>
      </c>
      <c r="F129" s="6">
        <v>40905.211134059427</v>
      </c>
      <c r="G129" t="s">
        <v>1023</v>
      </c>
      <c r="H129" s="3">
        <v>45327</v>
      </c>
      <c r="I129" s="3">
        <v>45154</v>
      </c>
      <c r="J129" s="3">
        <v>45445</v>
      </c>
      <c r="K129" t="s">
        <v>1025</v>
      </c>
      <c r="L129">
        <v>30</v>
      </c>
      <c r="M129" s="6">
        <v>7310</v>
      </c>
      <c r="O129">
        <f t="shared" si="5"/>
        <v>0.45800000000000002</v>
      </c>
      <c r="P129">
        <f t="shared" si="6"/>
        <v>291</v>
      </c>
      <c r="Q129">
        <f t="shared" ca="1" si="7"/>
        <v>636</v>
      </c>
      <c r="R129" t="str">
        <f t="shared" si="8"/>
        <v>High</v>
      </c>
      <c r="S129">
        <f t="shared" si="9"/>
        <v>40905.211134059427</v>
      </c>
    </row>
    <row r="130" spans="1:19" x14ac:dyDescent="0.35">
      <c r="A130" t="s">
        <v>141</v>
      </c>
      <c r="B130" t="s">
        <v>641</v>
      </c>
      <c r="C130" t="s">
        <v>1014</v>
      </c>
      <c r="D130" t="s">
        <v>1020</v>
      </c>
      <c r="E130" s="6">
        <v>10007</v>
      </c>
      <c r="F130" s="6">
        <v>42711.189923262653</v>
      </c>
      <c r="G130" t="s">
        <v>1023</v>
      </c>
      <c r="H130" s="3">
        <v>45292</v>
      </c>
      <c r="I130" s="3">
        <v>45033</v>
      </c>
      <c r="J130" s="3">
        <v>45354</v>
      </c>
      <c r="K130" t="s">
        <v>1025</v>
      </c>
      <c r="L130">
        <v>36</v>
      </c>
      <c r="M130" s="6">
        <v>11944</v>
      </c>
      <c r="O130">
        <f t="shared" si="5"/>
        <v>4.2679999999999998</v>
      </c>
      <c r="P130">
        <f t="shared" si="6"/>
        <v>321</v>
      </c>
      <c r="Q130">
        <f t="shared" ca="1" si="7"/>
        <v>671</v>
      </c>
      <c r="R130" t="str">
        <f t="shared" si="8"/>
        <v>Normal</v>
      </c>
      <c r="S130">
        <f t="shared" si="9"/>
        <v>42711.189923262653</v>
      </c>
    </row>
    <row r="131" spans="1:19" x14ac:dyDescent="0.35">
      <c r="A131" t="s">
        <v>142</v>
      </c>
      <c r="B131" t="s">
        <v>642</v>
      </c>
      <c r="C131" t="s">
        <v>1014</v>
      </c>
      <c r="D131" t="s">
        <v>1019</v>
      </c>
      <c r="E131" s="6">
        <v>43832</v>
      </c>
      <c r="F131" s="6">
        <v>55990.231980352219</v>
      </c>
      <c r="G131" t="s">
        <v>1023</v>
      </c>
      <c r="H131" s="3">
        <v>45443</v>
      </c>
      <c r="I131" s="3">
        <v>45087</v>
      </c>
      <c r="J131" s="3">
        <v>45460</v>
      </c>
      <c r="K131" t="s">
        <v>1026</v>
      </c>
      <c r="L131">
        <v>23</v>
      </c>
      <c r="M131" s="6">
        <v>4610</v>
      </c>
      <c r="O131">
        <f t="shared" ref="O131:O194" si="10">IF(E131=0, 0, ROUND(F131 / E131, 3))</f>
        <v>1.2769999999999999</v>
      </c>
      <c r="P131">
        <f t="shared" ref="P131:P194" si="11">IF(AND(ISNUMBER(I131), ISNUMBER(J131)), DATEDIF(I131, J131, "D"), "")</f>
        <v>373</v>
      </c>
      <c r="Q131">
        <f t="shared" ref="Q131:Q194" ca="1" si="12">IF(ISNUMBER(H131), TODAY() - H131, "")</f>
        <v>520</v>
      </c>
      <c r="R131" t="str">
        <f t="shared" ref="R131:R194" si="13">IF(E131&gt;50000, "High","Normal")</f>
        <v>Normal</v>
      </c>
      <c r="S131">
        <f t="shared" ref="S131:S194" si="14">IF(G131="Rejected", 0, F131)</f>
        <v>55990.231980352219</v>
      </c>
    </row>
    <row r="132" spans="1:19" x14ac:dyDescent="0.35">
      <c r="A132" t="s">
        <v>143</v>
      </c>
      <c r="B132" t="s">
        <v>643</v>
      </c>
      <c r="C132" t="s">
        <v>1014</v>
      </c>
      <c r="D132" t="s">
        <v>1021</v>
      </c>
      <c r="E132" s="6">
        <v>60596</v>
      </c>
      <c r="F132" s="6">
        <v>0</v>
      </c>
      <c r="G132" t="s">
        <v>1022</v>
      </c>
      <c r="H132" s="3">
        <v>45582</v>
      </c>
      <c r="I132" s="3">
        <v>45273</v>
      </c>
      <c r="J132" s="3">
        <v>45372</v>
      </c>
      <c r="K132" t="s">
        <v>1025</v>
      </c>
      <c r="L132">
        <v>66</v>
      </c>
      <c r="M132" s="6">
        <v>14067</v>
      </c>
      <c r="O132">
        <f t="shared" si="10"/>
        <v>0</v>
      </c>
      <c r="P132">
        <f t="shared" si="11"/>
        <v>99</v>
      </c>
      <c r="Q132">
        <f t="shared" ca="1" si="12"/>
        <v>381</v>
      </c>
      <c r="R132" t="str">
        <f t="shared" si="13"/>
        <v>High</v>
      </c>
      <c r="S132">
        <f t="shared" si="14"/>
        <v>0</v>
      </c>
    </row>
    <row r="133" spans="1:19" x14ac:dyDescent="0.35">
      <c r="A133" t="s">
        <v>144</v>
      </c>
      <c r="B133" t="s">
        <v>644</v>
      </c>
      <c r="C133" t="s">
        <v>1015</v>
      </c>
      <c r="D133" t="s">
        <v>1018</v>
      </c>
      <c r="E133" s="6">
        <v>32523</v>
      </c>
      <c r="F133" s="6">
        <v>28622.93730564103</v>
      </c>
      <c r="G133" t="s">
        <v>1023</v>
      </c>
      <c r="H133" s="3">
        <v>45479</v>
      </c>
      <c r="I133" s="3">
        <v>45225</v>
      </c>
      <c r="J133" s="3">
        <v>45635</v>
      </c>
      <c r="K133" t="s">
        <v>1026</v>
      </c>
      <c r="L133">
        <v>44</v>
      </c>
      <c r="M133" s="6">
        <v>3104</v>
      </c>
      <c r="O133">
        <f t="shared" si="10"/>
        <v>0.88</v>
      </c>
      <c r="P133">
        <f t="shared" si="11"/>
        <v>410</v>
      </c>
      <c r="Q133">
        <f t="shared" ca="1" si="12"/>
        <v>484</v>
      </c>
      <c r="R133" t="str">
        <f t="shared" si="13"/>
        <v>Normal</v>
      </c>
      <c r="S133">
        <f t="shared" si="14"/>
        <v>28622.93730564103</v>
      </c>
    </row>
    <row r="134" spans="1:19" x14ac:dyDescent="0.35">
      <c r="A134" t="s">
        <v>145</v>
      </c>
      <c r="B134" t="s">
        <v>645</v>
      </c>
      <c r="C134" t="s">
        <v>1015</v>
      </c>
      <c r="D134" t="s">
        <v>1018</v>
      </c>
      <c r="E134" s="6">
        <v>90861</v>
      </c>
      <c r="F134" s="6">
        <v>49299.806381046903</v>
      </c>
      <c r="G134" t="s">
        <v>1022</v>
      </c>
      <c r="H134" s="3">
        <v>45402</v>
      </c>
      <c r="I134" s="3">
        <v>45277</v>
      </c>
      <c r="J134" s="3">
        <v>45578</v>
      </c>
      <c r="K134" t="s">
        <v>1026</v>
      </c>
      <c r="L134">
        <v>49</v>
      </c>
      <c r="M134" s="6">
        <v>12728</v>
      </c>
      <c r="O134">
        <f t="shared" si="10"/>
        <v>0.54300000000000004</v>
      </c>
      <c r="P134">
        <f t="shared" si="11"/>
        <v>301</v>
      </c>
      <c r="Q134">
        <f t="shared" ca="1" si="12"/>
        <v>561</v>
      </c>
      <c r="R134" t="str">
        <f t="shared" si="13"/>
        <v>High</v>
      </c>
      <c r="S134">
        <f t="shared" si="14"/>
        <v>49299.806381046903</v>
      </c>
    </row>
    <row r="135" spans="1:19" x14ac:dyDescent="0.35">
      <c r="A135" t="s">
        <v>146</v>
      </c>
      <c r="B135" t="s">
        <v>646</v>
      </c>
      <c r="C135" t="s">
        <v>1015</v>
      </c>
      <c r="D135" t="s">
        <v>1017</v>
      </c>
      <c r="E135" s="6">
        <v>88740</v>
      </c>
      <c r="F135" s="6">
        <v>82755.863210734489</v>
      </c>
      <c r="G135" t="s">
        <v>1023</v>
      </c>
      <c r="H135" s="3">
        <v>45363</v>
      </c>
      <c r="I135" s="3">
        <v>45147</v>
      </c>
      <c r="J135" s="3">
        <v>45569</v>
      </c>
      <c r="K135" t="s">
        <v>1025</v>
      </c>
      <c r="L135">
        <v>28</v>
      </c>
      <c r="M135" s="6">
        <v>9361</v>
      </c>
      <c r="O135">
        <f t="shared" si="10"/>
        <v>0.93300000000000005</v>
      </c>
      <c r="P135">
        <f t="shared" si="11"/>
        <v>422</v>
      </c>
      <c r="Q135">
        <f t="shared" ca="1" si="12"/>
        <v>600</v>
      </c>
      <c r="R135" t="str">
        <f t="shared" si="13"/>
        <v>High</v>
      </c>
      <c r="S135">
        <f t="shared" si="14"/>
        <v>82755.863210734489</v>
      </c>
    </row>
    <row r="136" spans="1:19" x14ac:dyDescent="0.35">
      <c r="A136" t="s">
        <v>147</v>
      </c>
      <c r="B136" t="s">
        <v>647</v>
      </c>
      <c r="C136" t="s">
        <v>1013</v>
      </c>
      <c r="D136" t="s">
        <v>1019</v>
      </c>
      <c r="E136" s="6">
        <v>17524</v>
      </c>
      <c r="F136" s="6">
        <v>60196.148789487539</v>
      </c>
      <c r="G136" t="s">
        <v>1023</v>
      </c>
      <c r="H136" s="3">
        <v>45456</v>
      </c>
      <c r="I136" s="3">
        <v>45037</v>
      </c>
      <c r="J136" s="3">
        <v>45605</v>
      </c>
      <c r="K136" t="s">
        <v>1026</v>
      </c>
      <c r="L136">
        <v>40</v>
      </c>
      <c r="M136" s="6">
        <v>6199</v>
      </c>
      <c r="O136">
        <f t="shared" si="10"/>
        <v>3.4350000000000001</v>
      </c>
      <c r="P136">
        <f t="shared" si="11"/>
        <v>568</v>
      </c>
      <c r="Q136">
        <f t="shared" ca="1" si="12"/>
        <v>507</v>
      </c>
      <c r="R136" t="str">
        <f t="shared" si="13"/>
        <v>Normal</v>
      </c>
      <c r="S136">
        <f t="shared" si="14"/>
        <v>60196.148789487539</v>
      </c>
    </row>
    <row r="137" spans="1:19" x14ac:dyDescent="0.35">
      <c r="A137" t="s">
        <v>148</v>
      </c>
      <c r="B137" t="s">
        <v>648</v>
      </c>
      <c r="C137" t="s">
        <v>1015</v>
      </c>
      <c r="D137" t="s">
        <v>1019</v>
      </c>
      <c r="E137" s="6">
        <v>21282</v>
      </c>
      <c r="F137" s="6">
        <v>9067.1734071749324</v>
      </c>
      <c r="G137" t="s">
        <v>1023</v>
      </c>
      <c r="H137" s="3">
        <v>45457</v>
      </c>
      <c r="I137" s="3">
        <v>45053</v>
      </c>
      <c r="J137" s="3">
        <v>45316</v>
      </c>
      <c r="K137" t="s">
        <v>1025</v>
      </c>
      <c r="L137">
        <v>39</v>
      </c>
      <c r="M137" s="6">
        <v>5854</v>
      </c>
      <c r="O137">
        <f t="shared" si="10"/>
        <v>0.42599999999999999</v>
      </c>
      <c r="P137">
        <f t="shared" si="11"/>
        <v>263</v>
      </c>
      <c r="Q137">
        <f t="shared" ca="1" si="12"/>
        <v>506</v>
      </c>
      <c r="R137" t="str">
        <f t="shared" si="13"/>
        <v>Normal</v>
      </c>
      <c r="S137">
        <f t="shared" si="14"/>
        <v>9067.1734071749324</v>
      </c>
    </row>
    <row r="138" spans="1:19" x14ac:dyDescent="0.35">
      <c r="A138" t="s">
        <v>149</v>
      </c>
      <c r="B138" t="s">
        <v>649</v>
      </c>
      <c r="C138" t="s">
        <v>1015</v>
      </c>
      <c r="D138" t="s">
        <v>1017</v>
      </c>
      <c r="E138" s="6">
        <v>25930</v>
      </c>
      <c r="F138" s="6">
        <v>0</v>
      </c>
      <c r="G138" t="s">
        <v>1023</v>
      </c>
      <c r="H138" s="3">
        <v>45591</v>
      </c>
      <c r="I138" s="3">
        <v>45095</v>
      </c>
      <c r="J138" s="3">
        <v>45460</v>
      </c>
      <c r="K138" t="s">
        <v>1026</v>
      </c>
      <c r="L138">
        <v>38</v>
      </c>
      <c r="M138" s="6">
        <v>9263</v>
      </c>
      <c r="O138">
        <f t="shared" si="10"/>
        <v>0</v>
      </c>
      <c r="P138">
        <f t="shared" si="11"/>
        <v>365</v>
      </c>
      <c r="Q138">
        <f t="shared" ca="1" si="12"/>
        <v>372</v>
      </c>
      <c r="R138" t="str">
        <f t="shared" si="13"/>
        <v>Normal</v>
      </c>
      <c r="S138">
        <f t="shared" si="14"/>
        <v>0</v>
      </c>
    </row>
    <row r="139" spans="1:19" x14ac:dyDescent="0.35">
      <c r="A139" t="s">
        <v>150</v>
      </c>
      <c r="B139" t="s">
        <v>650</v>
      </c>
      <c r="C139" t="s">
        <v>1015</v>
      </c>
      <c r="D139" t="s">
        <v>1021</v>
      </c>
      <c r="E139" s="6">
        <v>2077</v>
      </c>
      <c r="F139" s="6">
        <v>25663.138766738601</v>
      </c>
      <c r="G139" t="s">
        <v>1022</v>
      </c>
      <c r="H139" s="3">
        <v>45523</v>
      </c>
      <c r="I139" s="3">
        <v>45025</v>
      </c>
      <c r="J139" s="3">
        <v>45510</v>
      </c>
      <c r="K139" t="s">
        <v>1026</v>
      </c>
      <c r="L139">
        <v>38</v>
      </c>
      <c r="M139" s="6">
        <v>13686</v>
      </c>
      <c r="O139">
        <f t="shared" si="10"/>
        <v>12.356</v>
      </c>
      <c r="P139">
        <f t="shared" si="11"/>
        <v>485</v>
      </c>
      <c r="Q139">
        <f t="shared" ca="1" si="12"/>
        <v>440</v>
      </c>
      <c r="R139" t="str">
        <f t="shared" si="13"/>
        <v>Normal</v>
      </c>
      <c r="S139">
        <f t="shared" si="14"/>
        <v>25663.138766738601</v>
      </c>
    </row>
    <row r="140" spans="1:19" x14ac:dyDescent="0.35">
      <c r="A140" t="s">
        <v>151</v>
      </c>
      <c r="B140" t="s">
        <v>651</v>
      </c>
      <c r="C140" t="s">
        <v>1013</v>
      </c>
      <c r="D140" t="s">
        <v>1019</v>
      </c>
      <c r="E140" s="6">
        <v>22611</v>
      </c>
      <c r="F140" s="6">
        <v>3965.794087534045</v>
      </c>
      <c r="G140" t="s">
        <v>1022</v>
      </c>
      <c r="H140" s="3">
        <v>45399</v>
      </c>
      <c r="I140" s="3">
        <v>44953</v>
      </c>
      <c r="J140" s="3">
        <v>45579</v>
      </c>
      <c r="K140" t="s">
        <v>1025</v>
      </c>
      <c r="L140">
        <v>31</v>
      </c>
      <c r="M140" s="6">
        <v>3914</v>
      </c>
      <c r="O140">
        <f t="shared" si="10"/>
        <v>0.17499999999999999</v>
      </c>
      <c r="P140">
        <f t="shared" si="11"/>
        <v>626</v>
      </c>
      <c r="Q140">
        <f t="shared" ca="1" si="12"/>
        <v>564</v>
      </c>
      <c r="R140" t="str">
        <f t="shared" si="13"/>
        <v>Normal</v>
      </c>
      <c r="S140">
        <f t="shared" si="14"/>
        <v>3965.794087534045</v>
      </c>
    </row>
    <row r="141" spans="1:19" x14ac:dyDescent="0.35">
      <c r="A141" t="s">
        <v>152</v>
      </c>
      <c r="B141" t="s">
        <v>652</v>
      </c>
      <c r="C141" t="s">
        <v>1015</v>
      </c>
      <c r="D141" t="s">
        <v>1018</v>
      </c>
      <c r="E141" s="6">
        <v>18984</v>
      </c>
      <c r="F141" s="6">
        <v>7560.7605618836988</v>
      </c>
      <c r="G141" t="s">
        <v>1022</v>
      </c>
      <c r="H141" s="3">
        <v>45543</v>
      </c>
      <c r="I141" s="3">
        <v>45076</v>
      </c>
      <c r="J141" s="3">
        <v>45307</v>
      </c>
      <c r="K141" t="s">
        <v>1025</v>
      </c>
      <c r="L141">
        <v>56</v>
      </c>
      <c r="M141" s="6">
        <v>9365</v>
      </c>
      <c r="O141">
        <f t="shared" si="10"/>
        <v>0.39800000000000002</v>
      </c>
      <c r="P141">
        <f t="shared" si="11"/>
        <v>231</v>
      </c>
      <c r="Q141">
        <f t="shared" ca="1" si="12"/>
        <v>420</v>
      </c>
      <c r="R141" t="str">
        <f t="shared" si="13"/>
        <v>Normal</v>
      </c>
      <c r="S141">
        <f t="shared" si="14"/>
        <v>7560.7605618836988</v>
      </c>
    </row>
    <row r="142" spans="1:19" x14ac:dyDescent="0.35">
      <c r="A142" t="s">
        <v>153</v>
      </c>
      <c r="B142" t="s">
        <v>653</v>
      </c>
      <c r="C142" t="s">
        <v>1014</v>
      </c>
      <c r="D142" t="s">
        <v>1018</v>
      </c>
      <c r="E142" s="6">
        <v>16060</v>
      </c>
      <c r="F142" s="6">
        <v>9542.7163295856881</v>
      </c>
      <c r="G142" t="s">
        <v>1023</v>
      </c>
      <c r="H142" s="3">
        <v>45369</v>
      </c>
      <c r="I142" s="3">
        <v>45224</v>
      </c>
      <c r="J142" s="3">
        <v>45310</v>
      </c>
      <c r="K142" t="s">
        <v>1025</v>
      </c>
      <c r="L142">
        <v>61</v>
      </c>
      <c r="M142" s="6">
        <v>5072</v>
      </c>
      <c r="O142">
        <f t="shared" si="10"/>
        <v>0.59399999999999997</v>
      </c>
      <c r="P142">
        <f t="shared" si="11"/>
        <v>86</v>
      </c>
      <c r="Q142">
        <f t="shared" ca="1" si="12"/>
        <v>594</v>
      </c>
      <c r="R142" t="str">
        <f t="shared" si="13"/>
        <v>Normal</v>
      </c>
      <c r="S142">
        <f t="shared" si="14"/>
        <v>9542.7163295856881</v>
      </c>
    </row>
    <row r="143" spans="1:19" x14ac:dyDescent="0.35">
      <c r="A143" t="s">
        <v>154</v>
      </c>
      <c r="B143" t="s">
        <v>654</v>
      </c>
      <c r="C143" t="s">
        <v>1015</v>
      </c>
      <c r="D143" t="s">
        <v>1020</v>
      </c>
      <c r="E143" s="6">
        <v>84985</v>
      </c>
      <c r="F143" s="6">
        <v>17584.050807379412</v>
      </c>
      <c r="G143" t="s">
        <v>1023</v>
      </c>
      <c r="H143" s="3">
        <v>45326</v>
      </c>
      <c r="I143" s="3">
        <v>45009</v>
      </c>
      <c r="J143" s="3">
        <v>45329</v>
      </c>
      <c r="K143" t="s">
        <v>1025</v>
      </c>
      <c r="L143">
        <v>36</v>
      </c>
      <c r="M143" s="6">
        <v>11198</v>
      </c>
      <c r="O143">
        <f t="shared" si="10"/>
        <v>0.20699999999999999</v>
      </c>
      <c r="P143">
        <f t="shared" si="11"/>
        <v>320</v>
      </c>
      <c r="Q143">
        <f t="shared" ca="1" si="12"/>
        <v>637</v>
      </c>
      <c r="R143" t="str">
        <f t="shared" si="13"/>
        <v>High</v>
      </c>
      <c r="S143">
        <f t="shared" si="14"/>
        <v>17584.050807379412</v>
      </c>
    </row>
    <row r="144" spans="1:19" x14ac:dyDescent="0.35">
      <c r="A144" t="s">
        <v>155</v>
      </c>
      <c r="B144" t="s">
        <v>655</v>
      </c>
      <c r="C144" t="s">
        <v>1014</v>
      </c>
      <c r="D144" t="s">
        <v>1019</v>
      </c>
      <c r="E144" s="6">
        <v>86056</v>
      </c>
      <c r="F144" s="6">
        <v>66095.125069000729</v>
      </c>
      <c r="G144" t="s">
        <v>1023</v>
      </c>
      <c r="H144" s="3">
        <v>45411</v>
      </c>
      <c r="I144" s="3">
        <v>44967</v>
      </c>
      <c r="J144" s="3">
        <v>45632</v>
      </c>
      <c r="K144" t="s">
        <v>1025</v>
      </c>
      <c r="L144">
        <v>56</v>
      </c>
      <c r="M144" s="6">
        <v>2406</v>
      </c>
      <c r="O144">
        <f t="shared" si="10"/>
        <v>0.76800000000000002</v>
      </c>
      <c r="P144">
        <f t="shared" si="11"/>
        <v>665</v>
      </c>
      <c r="Q144">
        <f t="shared" ca="1" si="12"/>
        <v>552</v>
      </c>
      <c r="R144" t="str">
        <f t="shared" si="13"/>
        <v>High</v>
      </c>
      <c r="S144">
        <f t="shared" si="14"/>
        <v>66095.125069000729</v>
      </c>
    </row>
    <row r="145" spans="1:19" x14ac:dyDescent="0.35">
      <c r="A145" t="s">
        <v>156</v>
      </c>
      <c r="B145" t="s">
        <v>656</v>
      </c>
      <c r="C145" t="s">
        <v>1014</v>
      </c>
      <c r="D145" t="s">
        <v>1021</v>
      </c>
      <c r="E145" s="6">
        <v>45303</v>
      </c>
      <c r="F145" s="6">
        <v>3170.3378890821259</v>
      </c>
      <c r="G145" t="s">
        <v>1023</v>
      </c>
      <c r="H145" s="3">
        <v>45540</v>
      </c>
      <c r="I145" s="3">
        <v>45258</v>
      </c>
      <c r="J145" s="3">
        <v>45485</v>
      </c>
      <c r="K145" t="s">
        <v>1026</v>
      </c>
      <c r="L145">
        <v>67</v>
      </c>
      <c r="M145" s="6">
        <v>2166</v>
      </c>
      <c r="O145">
        <f t="shared" si="10"/>
        <v>7.0000000000000007E-2</v>
      </c>
      <c r="P145">
        <f t="shared" si="11"/>
        <v>227</v>
      </c>
      <c r="Q145">
        <f t="shared" ca="1" si="12"/>
        <v>423</v>
      </c>
      <c r="R145" t="str">
        <f t="shared" si="13"/>
        <v>Normal</v>
      </c>
      <c r="S145">
        <f t="shared" si="14"/>
        <v>3170.3378890821259</v>
      </c>
    </row>
    <row r="146" spans="1:19" x14ac:dyDescent="0.35">
      <c r="A146" t="s">
        <v>157</v>
      </c>
      <c r="B146" t="s">
        <v>657</v>
      </c>
      <c r="C146" t="s">
        <v>1014</v>
      </c>
      <c r="D146" t="s">
        <v>1017</v>
      </c>
      <c r="E146" s="6">
        <v>61207</v>
      </c>
      <c r="F146" s="6">
        <v>33122.194953259299</v>
      </c>
      <c r="G146" t="s">
        <v>1023</v>
      </c>
      <c r="H146" s="3">
        <v>45505</v>
      </c>
      <c r="I146" s="3">
        <v>45268</v>
      </c>
      <c r="J146" s="3">
        <v>45498</v>
      </c>
      <c r="K146" t="s">
        <v>1026</v>
      </c>
      <c r="L146">
        <v>58</v>
      </c>
      <c r="M146" s="6">
        <v>2508</v>
      </c>
      <c r="O146">
        <f t="shared" si="10"/>
        <v>0.54100000000000004</v>
      </c>
      <c r="P146">
        <f t="shared" si="11"/>
        <v>230</v>
      </c>
      <c r="Q146">
        <f t="shared" ca="1" si="12"/>
        <v>458</v>
      </c>
      <c r="R146" t="str">
        <f t="shared" si="13"/>
        <v>High</v>
      </c>
      <c r="S146">
        <f t="shared" si="14"/>
        <v>33122.194953259299</v>
      </c>
    </row>
    <row r="147" spans="1:19" x14ac:dyDescent="0.35">
      <c r="A147" t="s">
        <v>158</v>
      </c>
      <c r="B147" t="s">
        <v>658</v>
      </c>
      <c r="C147" t="s">
        <v>1013</v>
      </c>
      <c r="D147" t="s">
        <v>1017</v>
      </c>
      <c r="E147" s="6">
        <v>77046</v>
      </c>
      <c r="F147" s="6">
        <v>26437.840086588429</v>
      </c>
      <c r="G147" t="s">
        <v>1023</v>
      </c>
      <c r="H147" s="3">
        <v>45441</v>
      </c>
      <c r="I147" s="3">
        <v>45019</v>
      </c>
      <c r="J147" s="3">
        <v>45626</v>
      </c>
      <c r="K147" t="s">
        <v>1026</v>
      </c>
      <c r="L147">
        <v>47</v>
      </c>
      <c r="M147" s="6">
        <v>3661</v>
      </c>
      <c r="O147">
        <f t="shared" si="10"/>
        <v>0.34300000000000003</v>
      </c>
      <c r="P147">
        <f t="shared" si="11"/>
        <v>607</v>
      </c>
      <c r="Q147">
        <f t="shared" ca="1" si="12"/>
        <v>522</v>
      </c>
      <c r="R147" t="str">
        <f t="shared" si="13"/>
        <v>High</v>
      </c>
      <c r="S147">
        <f t="shared" si="14"/>
        <v>26437.840086588429</v>
      </c>
    </row>
    <row r="148" spans="1:19" x14ac:dyDescent="0.35">
      <c r="A148" t="s">
        <v>159</v>
      </c>
      <c r="B148" t="s">
        <v>659</v>
      </c>
      <c r="C148" t="s">
        <v>1013</v>
      </c>
      <c r="D148" t="s">
        <v>1021</v>
      </c>
      <c r="E148" s="6">
        <v>31287</v>
      </c>
      <c r="F148" s="6">
        <v>28079.821000810109</v>
      </c>
      <c r="G148" t="s">
        <v>1023</v>
      </c>
      <c r="H148" s="3">
        <v>45333</v>
      </c>
      <c r="I148" s="3">
        <v>45052</v>
      </c>
      <c r="J148" s="3">
        <v>45653</v>
      </c>
      <c r="K148" t="s">
        <v>1026</v>
      </c>
      <c r="L148">
        <v>60</v>
      </c>
      <c r="M148" s="6">
        <v>5664</v>
      </c>
      <c r="O148">
        <f t="shared" si="10"/>
        <v>0.89700000000000002</v>
      </c>
      <c r="P148">
        <f t="shared" si="11"/>
        <v>601</v>
      </c>
      <c r="Q148">
        <f t="shared" ca="1" si="12"/>
        <v>630</v>
      </c>
      <c r="R148" t="str">
        <f t="shared" si="13"/>
        <v>Normal</v>
      </c>
      <c r="S148">
        <f t="shared" si="14"/>
        <v>28079.821000810109</v>
      </c>
    </row>
    <row r="149" spans="1:19" x14ac:dyDescent="0.35">
      <c r="A149" t="s">
        <v>160</v>
      </c>
      <c r="B149" t="s">
        <v>660</v>
      </c>
      <c r="C149" t="s">
        <v>1013</v>
      </c>
      <c r="D149" t="s">
        <v>1020</v>
      </c>
      <c r="E149" s="6">
        <v>95709</v>
      </c>
      <c r="F149" s="6">
        <v>20014.394253862429</v>
      </c>
      <c r="G149" t="s">
        <v>1023</v>
      </c>
      <c r="H149" s="3">
        <v>45560</v>
      </c>
      <c r="I149" s="3">
        <v>45228</v>
      </c>
      <c r="J149" s="3">
        <v>45310</v>
      </c>
      <c r="K149" t="s">
        <v>1026</v>
      </c>
      <c r="L149">
        <v>54</v>
      </c>
      <c r="M149" s="6">
        <v>5489</v>
      </c>
      <c r="O149">
        <f t="shared" si="10"/>
        <v>0.20899999999999999</v>
      </c>
      <c r="P149">
        <f t="shared" si="11"/>
        <v>82</v>
      </c>
      <c r="Q149">
        <f t="shared" ca="1" si="12"/>
        <v>403</v>
      </c>
      <c r="R149" t="str">
        <f t="shared" si="13"/>
        <v>High</v>
      </c>
      <c r="S149">
        <f t="shared" si="14"/>
        <v>20014.394253862429</v>
      </c>
    </row>
    <row r="150" spans="1:19" x14ac:dyDescent="0.35">
      <c r="A150" t="s">
        <v>161</v>
      </c>
      <c r="B150" t="s">
        <v>661</v>
      </c>
      <c r="C150" t="s">
        <v>1015</v>
      </c>
      <c r="D150" t="s">
        <v>1017</v>
      </c>
      <c r="E150" s="6">
        <v>41711</v>
      </c>
      <c r="F150" s="6">
        <v>31160.314986272751</v>
      </c>
      <c r="G150" t="s">
        <v>1022</v>
      </c>
      <c r="H150" s="3">
        <v>45466</v>
      </c>
      <c r="I150" s="3">
        <v>45160</v>
      </c>
      <c r="J150" s="3">
        <v>45481</v>
      </c>
      <c r="K150" t="s">
        <v>1026</v>
      </c>
      <c r="L150">
        <v>66</v>
      </c>
      <c r="M150" s="6">
        <v>2680</v>
      </c>
      <c r="O150">
        <f t="shared" si="10"/>
        <v>0.747</v>
      </c>
      <c r="P150">
        <f t="shared" si="11"/>
        <v>321</v>
      </c>
      <c r="Q150">
        <f t="shared" ca="1" si="12"/>
        <v>497</v>
      </c>
      <c r="R150" t="str">
        <f t="shared" si="13"/>
        <v>Normal</v>
      </c>
      <c r="S150">
        <f t="shared" si="14"/>
        <v>31160.314986272751</v>
      </c>
    </row>
    <row r="151" spans="1:19" x14ac:dyDescent="0.35">
      <c r="A151" t="s">
        <v>162</v>
      </c>
      <c r="B151" t="s">
        <v>662</v>
      </c>
      <c r="C151" t="s">
        <v>1014</v>
      </c>
      <c r="D151" t="s">
        <v>1019</v>
      </c>
      <c r="E151" s="6">
        <v>13954</v>
      </c>
      <c r="F151" s="6">
        <v>0</v>
      </c>
      <c r="G151" t="s">
        <v>1024</v>
      </c>
      <c r="H151" s="3">
        <v>45500</v>
      </c>
      <c r="I151" s="3">
        <v>45019</v>
      </c>
      <c r="J151" s="3">
        <v>45549</v>
      </c>
      <c r="K151" t="s">
        <v>1026</v>
      </c>
      <c r="L151">
        <v>67</v>
      </c>
      <c r="M151" s="6">
        <v>4524</v>
      </c>
      <c r="O151">
        <f t="shared" si="10"/>
        <v>0</v>
      </c>
      <c r="P151">
        <f t="shared" si="11"/>
        <v>530</v>
      </c>
      <c r="Q151">
        <f t="shared" ca="1" si="12"/>
        <v>463</v>
      </c>
      <c r="R151" t="str">
        <f t="shared" si="13"/>
        <v>Normal</v>
      </c>
      <c r="S151">
        <f t="shared" si="14"/>
        <v>0</v>
      </c>
    </row>
    <row r="152" spans="1:19" x14ac:dyDescent="0.35">
      <c r="A152" t="s">
        <v>163</v>
      </c>
      <c r="B152" t="s">
        <v>663</v>
      </c>
      <c r="C152" t="s">
        <v>1013</v>
      </c>
      <c r="D152" t="s">
        <v>1020</v>
      </c>
      <c r="E152" s="6">
        <v>75340</v>
      </c>
      <c r="F152" s="6">
        <v>40151.819809090877</v>
      </c>
      <c r="G152" t="s">
        <v>1024</v>
      </c>
      <c r="H152" s="3">
        <v>45553</v>
      </c>
      <c r="I152" s="3">
        <v>45114</v>
      </c>
      <c r="J152" s="3">
        <v>45410</v>
      </c>
      <c r="K152" t="s">
        <v>1025</v>
      </c>
      <c r="L152">
        <v>37</v>
      </c>
      <c r="M152" s="6">
        <v>4120</v>
      </c>
      <c r="O152">
        <f t="shared" si="10"/>
        <v>0.53300000000000003</v>
      </c>
      <c r="P152">
        <f t="shared" si="11"/>
        <v>296</v>
      </c>
      <c r="Q152">
        <f t="shared" ca="1" si="12"/>
        <v>410</v>
      </c>
      <c r="R152" t="str">
        <f t="shared" si="13"/>
        <v>High</v>
      </c>
      <c r="S152">
        <f t="shared" si="14"/>
        <v>0</v>
      </c>
    </row>
    <row r="153" spans="1:19" x14ac:dyDescent="0.35">
      <c r="A153" t="s">
        <v>164</v>
      </c>
      <c r="B153" t="s">
        <v>664</v>
      </c>
      <c r="C153" t="s">
        <v>1013</v>
      </c>
      <c r="D153" t="s">
        <v>1019</v>
      </c>
      <c r="E153" s="6">
        <v>74101</v>
      </c>
      <c r="F153" s="6">
        <v>44748.510291018138</v>
      </c>
      <c r="G153" t="s">
        <v>1023</v>
      </c>
      <c r="H153" s="3">
        <v>45332</v>
      </c>
      <c r="I153" s="3">
        <v>44942</v>
      </c>
      <c r="J153" s="3">
        <v>45459</v>
      </c>
      <c r="K153" t="s">
        <v>1025</v>
      </c>
      <c r="L153">
        <v>33</v>
      </c>
      <c r="M153" s="6">
        <v>7260</v>
      </c>
      <c r="O153">
        <f t="shared" si="10"/>
        <v>0.60399999999999998</v>
      </c>
      <c r="P153">
        <f t="shared" si="11"/>
        <v>517</v>
      </c>
      <c r="Q153">
        <f t="shared" ca="1" si="12"/>
        <v>631</v>
      </c>
      <c r="R153" t="str">
        <f t="shared" si="13"/>
        <v>High</v>
      </c>
      <c r="S153">
        <f t="shared" si="14"/>
        <v>44748.510291018138</v>
      </c>
    </row>
    <row r="154" spans="1:19" x14ac:dyDescent="0.35">
      <c r="A154" t="s">
        <v>165</v>
      </c>
      <c r="B154" t="s">
        <v>665</v>
      </c>
      <c r="C154" t="s">
        <v>1015</v>
      </c>
      <c r="D154" t="s">
        <v>1018</v>
      </c>
      <c r="E154" s="6">
        <v>73520</v>
      </c>
      <c r="F154" s="6">
        <v>81055.289175354788</v>
      </c>
      <c r="G154" t="s">
        <v>1023</v>
      </c>
      <c r="H154" s="3">
        <v>45449</v>
      </c>
      <c r="I154" s="3">
        <v>44930</v>
      </c>
      <c r="J154" s="3">
        <v>45523</v>
      </c>
      <c r="K154" t="s">
        <v>1026</v>
      </c>
      <c r="L154">
        <v>54</v>
      </c>
      <c r="M154" s="6">
        <v>14869</v>
      </c>
      <c r="O154">
        <f t="shared" si="10"/>
        <v>1.1020000000000001</v>
      </c>
      <c r="P154">
        <f t="shared" si="11"/>
        <v>593</v>
      </c>
      <c r="Q154">
        <f t="shared" ca="1" si="12"/>
        <v>514</v>
      </c>
      <c r="R154" t="str">
        <f t="shared" si="13"/>
        <v>High</v>
      </c>
      <c r="S154">
        <f t="shared" si="14"/>
        <v>81055.289175354788</v>
      </c>
    </row>
    <row r="155" spans="1:19" x14ac:dyDescent="0.35">
      <c r="A155" t="s">
        <v>166</v>
      </c>
      <c r="B155" t="s">
        <v>666</v>
      </c>
      <c r="C155" t="s">
        <v>1013</v>
      </c>
      <c r="D155" t="s">
        <v>1020</v>
      </c>
      <c r="E155" s="6">
        <v>89062</v>
      </c>
      <c r="F155" s="6">
        <v>71228.549521769703</v>
      </c>
      <c r="G155" t="s">
        <v>1023</v>
      </c>
      <c r="H155" s="3">
        <v>45349</v>
      </c>
      <c r="I155" s="3">
        <v>45105</v>
      </c>
      <c r="J155" s="3">
        <v>45398</v>
      </c>
      <c r="K155" t="s">
        <v>1026</v>
      </c>
      <c r="L155">
        <v>63</v>
      </c>
      <c r="M155" s="6">
        <v>6357</v>
      </c>
      <c r="O155">
        <f t="shared" si="10"/>
        <v>0.8</v>
      </c>
      <c r="P155">
        <f t="shared" si="11"/>
        <v>293</v>
      </c>
      <c r="Q155">
        <f t="shared" ca="1" si="12"/>
        <v>614</v>
      </c>
      <c r="R155" t="str">
        <f t="shared" si="13"/>
        <v>High</v>
      </c>
      <c r="S155">
        <f t="shared" si="14"/>
        <v>71228.549521769703</v>
      </c>
    </row>
    <row r="156" spans="1:19" x14ac:dyDescent="0.35">
      <c r="A156" t="s">
        <v>167</v>
      </c>
      <c r="B156" t="s">
        <v>667</v>
      </c>
      <c r="C156" t="s">
        <v>1015</v>
      </c>
      <c r="D156" t="s">
        <v>1017</v>
      </c>
      <c r="E156" s="6">
        <v>20574</v>
      </c>
      <c r="F156" s="6">
        <v>27943.767962768088</v>
      </c>
      <c r="G156" t="s">
        <v>1022</v>
      </c>
      <c r="H156" s="3">
        <v>45486</v>
      </c>
      <c r="I156" s="3">
        <v>45009</v>
      </c>
      <c r="J156" s="3">
        <v>45399</v>
      </c>
      <c r="K156" t="s">
        <v>1025</v>
      </c>
      <c r="L156">
        <v>60</v>
      </c>
      <c r="M156" s="6">
        <v>3363</v>
      </c>
      <c r="O156">
        <f t="shared" si="10"/>
        <v>1.3580000000000001</v>
      </c>
      <c r="P156">
        <f t="shared" si="11"/>
        <v>390</v>
      </c>
      <c r="Q156">
        <f t="shared" ca="1" si="12"/>
        <v>477</v>
      </c>
      <c r="R156" t="str">
        <f t="shared" si="13"/>
        <v>Normal</v>
      </c>
      <c r="S156">
        <f t="shared" si="14"/>
        <v>27943.767962768088</v>
      </c>
    </row>
    <row r="157" spans="1:19" x14ac:dyDescent="0.35">
      <c r="A157" t="s">
        <v>168</v>
      </c>
      <c r="B157" t="s">
        <v>668</v>
      </c>
      <c r="C157" t="s">
        <v>1016</v>
      </c>
      <c r="D157" t="s">
        <v>1020</v>
      </c>
      <c r="E157" s="6">
        <v>11184</v>
      </c>
      <c r="F157" s="6">
        <v>3851.2281049426228</v>
      </c>
      <c r="G157" t="s">
        <v>1023</v>
      </c>
      <c r="H157" s="3">
        <v>45584</v>
      </c>
      <c r="I157" s="3">
        <v>45236</v>
      </c>
      <c r="J157" s="3">
        <v>45645</v>
      </c>
      <c r="K157" t="s">
        <v>1025</v>
      </c>
      <c r="L157">
        <v>26</v>
      </c>
      <c r="M157" s="6">
        <v>11523</v>
      </c>
      <c r="O157">
        <f t="shared" si="10"/>
        <v>0.34399999999999997</v>
      </c>
      <c r="P157">
        <f t="shared" si="11"/>
        <v>409</v>
      </c>
      <c r="Q157">
        <f t="shared" ca="1" si="12"/>
        <v>379</v>
      </c>
      <c r="R157" t="str">
        <f t="shared" si="13"/>
        <v>Normal</v>
      </c>
      <c r="S157">
        <f t="shared" si="14"/>
        <v>3851.2281049426228</v>
      </c>
    </row>
    <row r="158" spans="1:19" x14ac:dyDescent="0.35">
      <c r="A158" t="s">
        <v>169</v>
      </c>
      <c r="B158" t="s">
        <v>669</v>
      </c>
      <c r="C158" t="s">
        <v>1013</v>
      </c>
      <c r="D158" t="s">
        <v>1020</v>
      </c>
      <c r="E158" s="6">
        <v>21096</v>
      </c>
      <c r="F158" s="6">
        <v>49820.916141991132</v>
      </c>
      <c r="G158" t="s">
        <v>1023</v>
      </c>
      <c r="H158" s="3">
        <v>45365</v>
      </c>
      <c r="I158" s="3">
        <v>44973</v>
      </c>
      <c r="J158" s="3">
        <v>45391</v>
      </c>
      <c r="K158" t="s">
        <v>1025</v>
      </c>
      <c r="L158">
        <v>60</v>
      </c>
      <c r="M158" s="6">
        <v>4292</v>
      </c>
      <c r="O158">
        <f t="shared" si="10"/>
        <v>2.3620000000000001</v>
      </c>
      <c r="P158">
        <f t="shared" si="11"/>
        <v>418</v>
      </c>
      <c r="Q158">
        <f t="shared" ca="1" si="12"/>
        <v>598</v>
      </c>
      <c r="R158" t="str">
        <f t="shared" si="13"/>
        <v>Normal</v>
      </c>
      <c r="S158">
        <f t="shared" si="14"/>
        <v>49820.916141991132</v>
      </c>
    </row>
    <row r="159" spans="1:19" x14ac:dyDescent="0.35">
      <c r="A159" t="s">
        <v>170</v>
      </c>
      <c r="B159" t="s">
        <v>670</v>
      </c>
      <c r="C159" t="s">
        <v>1016</v>
      </c>
      <c r="D159" t="s">
        <v>1020</v>
      </c>
      <c r="E159" s="6">
        <v>69728</v>
      </c>
      <c r="F159" s="6">
        <v>89010.896133079499</v>
      </c>
      <c r="G159" t="s">
        <v>1022</v>
      </c>
      <c r="H159" s="3">
        <v>45582</v>
      </c>
      <c r="I159" s="3">
        <v>45211</v>
      </c>
      <c r="J159" s="3">
        <v>45645</v>
      </c>
      <c r="K159" t="s">
        <v>1025</v>
      </c>
      <c r="L159">
        <v>32</v>
      </c>
      <c r="M159" s="6">
        <v>3538</v>
      </c>
      <c r="O159">
        <f t="shared" si="10"/>
        <v>1.2769999999999999</v>
      </c>
      <c r="P159">
        <f t="shared" si="11"/>
        <v>434</v>
      </c>
      <c r="Q159">
        <f t="shared" ca="1" si="12"/>
        <v>381</v>
      </c>
      <c r="R159" t="str">
        <f t="shared" si="13"/>
        <v>High</v>
      </c>
      <c r="S159">
        <f t="shared" si="14"/>
        <v>89010.896133079499</v>
      </c>
    </row>
    <row r="160" spans="1:19" x14ac:dyDescent="0.35">
      <c r="A160" t="s">
        <v>171</v>
      </c>
      <c r="B160" t="s">
        <v>671</v>
      </c>
      <c r="C160" t="s">
        <v>1015</v>
      </c>
      <c r="D160" t="s">
        <v>1020</v>
      </c>
      <c r="E160" s="6">
        <v>36016</v>
      </c>
      <c r="F160" s="6">
        <v>39520.45475707591</v>
      </c>
      <c r="G160" t="s">
        <v>1023</v>
      </c>
      <c r="H160" s="3">
        <v>45328</v>
      </c>
      <c r="I160" s="3">
        <v>45252</v>
      </c>
      <c r="J160" s="3">
        <v>45300</v>
      </c>
      <c r="K160" t="s">
        <v>1026</v>
      </c>
      <c r="L160">
        <v>37</v>
      </c>
      <c r="M160" s="6">
        <v>5408</v>
      </c>
      <c r="O160">
        <f t="shared" si="10"/>
        <v>1.097</v>
      </c>
      <c r="P160">
        <f t="shared" si="11"/>
        <v>48</v>
      </c>
      <c r="Q160">
        <f t="shared" ca="1" si="12"/>
        <v>635</v>
      </c>
      <c r="R160" t="str">
        <f t="shared" si="13"/>
        <v>Normal</v>
      </c>
      <c r="S160">
        <f t="shared" si="14"/>
        <v>39520.45475707591</v>
      </c>
    </row>
    <row r="161" spans="1:19" x14ac:dyDescent="0.35">
      <c r="A161" t="s">
        <v>172</v>
      </c>
      <c r="B161" t="s">
        <v>672</v>
      </c>
      <c r="C161" t="s">
        <v>1014</v>
      </c>
      <c r="D161" t="s">
        <v>1019</v>
      </c>
      <c r="E161" s="6">
        <v>13246</v>
      </c>
      <c r="F161" s="6">
        <v>75806.663976222451</v>
      </c>
      <c r="G161" t="s">
        <v>1023</v>
      </c>
      <c r="H161" s="3">
        <v>45348</v>
      </c>
      <c r="I161" s="3">
        <v>45070</v>
      </c>
      <c r="J161" s="3">
        <v>45571</v>
      </c>
      <c r="K161" t="s">
        <v>1025</v>
      </c>
      <c r="L161">
        <v>56</v>
      </c>
      <c r="M161" s="6">
        <v>9742</v>
      </c>
      <c r="O161">
        <f t="shared" si="10"/>
        <v>5.7229999999999999</v>
      </c>
      <c r="P161">
        <f t="shared" si="11"/>
        <v>501</v>
      </c>
      <c r="Q161">
        <f t="shared" ca="1" si="12"/>
        <v>615</v>
      </c>
      <c r="R161" t="str">
        <f t="shared" si="13"/>
        <v>Normal</v>
      </c>
      <c r="S161">
        <f t="shared" si="14"/>
        <v>75806.663976222451</v>
      </c>
    </row>
    <row r="162" spans="1:19" x14ac:dyDescent="0.35">
      <c r="A162" t="s">
        <v>173</v>
      </c>
      <c r="B162" t="s">
        <v>673</v>
      </c>
      <c r="C162" t="s">
        <v>1013</v>
      </c>
      <c r="D162" t="s">
        <v>1018</v>
      </c>
      <c r="E162" s="6">
        <v>47558</v>
      </c>
      <c r="F162" s="6">
        <v>0</v>
      </c>
      <c r="G162" t="s">
        <v>1023</v>
      </c>
      <c r="H162" s="3">
        <v>45375</v>
      </c>
      <c r="I162" s="3">
        <v>45195</v>
      </c>
      <c r="J162" s="3">
        <v>45349</v>
      </c>
      <c r="K162" t="s">
        <v>1026</v>
      </c>
      <c r="L162">
        <v>32</v>
      </c>
      <c r="M162" s="6">
        <v>10752</v>
      </c>
      <c r="O162">
        <f t="shared" si="10"/>
        <v>0</v>
      </c>
      <c r="P162">
        <f t="shared" si="11"/>
        <v>154</v>
      </c>
      <c r="Q162">
        <f t="shared" ca="1" si="12"/>
        <v>588</v>
      </c>
      <c r="R162" t="str">
        <f t="shared" si="13"/>
        <v>Normal</v>
      </c>
      <c r="S162">
        <f t="shared" si="14"/>
        <v>0</v>
      </c>
    </row>
    <row r="163" spans="1:19" x14ac:dyDescent="0.35">
      <c r="A163" t="s">
        <v>174</v>
      </c>
      <c r="B163" t="s">
        <v>674</v>
      </c>
      <c r="C163" t="s">
        <v>1015</v>
      </c>
      <c r="D163" t="s">
        <v>1021</v>
      </c>
      <c r="E163" s="6">
        <v>20381</v>
      </c>
      <c r="F163" s="6">
        <v>63472.736152996367</v>
      </c>
      <c r="G163" t="s">
        <v>1023</v>
      </c>
      <c r="H163" s="3">
        <v>45472</v>
      </c>
      <c r="I163" s="3">
        <v>45256</v>
      </c>
      <c r="J163" s="3">
        <v>45434</v>
      </c>
      <c r="K163" t="s">
        <v>1026</v>
      </c>
      <c r="L163">
        <v>55</v>
      </c>
      <c r="M163" s="6">
        <v>11291</v>
      </c>
      <c r="O163">
        <f t="shared" si="10"/>
        <v>3.1139999999999999</v>
      </c>
      <c r="P163">
        <f t="shared" si="11"/>
        <v>178</v>
      </c>
      <c r="Q163">
        <f t="shared" ca="1" si="12"/>
        <v>491</v>
      </c>
      <c r="R163" t="str">
        <f t="shared" si="13"/>
        <v>Normal</v>
      </c>
      <c r="S163">
        <f t="shared" si="14"/>
        <v>63472.736152996367</v>
      </c>
    </row>
    <row r="164" spans="1:19" x14ac:dyDescent="0.35">
      <c r="A164" t="s">
        <v>175</v>
      </c>
      <c r="B164" t="s">
        <v>675</v>
      </c>
      <c r="C164" t="s">
        <v>1014</v>
      </c>
      <c r="D164" t="s">
        <v>1020</v>
      </c>
      <c r="E164" s="6">
        <v>38455</v>
      </c>
      <c r="F164" s="6">
        <v>44196.417750717039</v>
      </c>
      <c r="G164" t="s">
        <v>1023</v>
      </c>
      <c r="H164" s="3">
        <v>45492</v>
      </c>
      <c r="I164" s="3">
        <v>45272</v>
      </c>
      <c r="J164" s="3">
        <v>45605</v>
      </c>
      <c r="K164" t="s">
        <v>1026</v>
      </c>
      <c r="L164">
        <v>50</v>
      </c>
      <c r="M164" s="6">
        <v>3903</v>
      </c>
      <c r="O164">
        <f t="shared" si="10"/>
        <v>1.149</v>
      </c>
      <c r="P164">
        <f t="shared" si="11"/>
        <v>333</v>
      </c>
      <c r="Q164">
        <f t="shared" ca="1" si="12"/>
        <v>471</v>
      </c>
      <c r="R164" t="str">
        <f t="shared" si="13"/>
        <v>Normal</v>
      </c>
      <c r="S164">
        <f t="shared" si="14"/>
        <v>44196.417750717039</v>
      </c>
    </row>
    <row r="165" spans="1:19" x14ac:dyDescent="0.35">
      <c r="A165" t="s">
        <v>176</v>
      </c>
      <c r="B165" t="s">
        <v>676</v>
      </c>
      <c r="C165" t="s">
        <v>1014</v>
      </c>
      <c r="D165" t="s">
        <v>1017</v>
      </c>
      <c r="E165" s="6">
        <v>94263</v>
      </c>
      <c r="F165" s="6">
        <v>51466.811868112323</v>
      </c>
      <c r="G165" t="s">
        <v>1023</v>
      </c>
      <c r="H165" s="3">
        <v>45330</v>
      </c>
      <c r="I165" s="3">
        <v>44957</v>
      </c>
      <c r="J165" s="3">
        <v>45552</v>
      </c>
      <c r="K165" t="s">
        <v>1025</v>
      </c>
      <c r="L165">
        <v>21</v>
      </c>
      <c r="M165" s="6">
        <v>2174</v>
      </c>
      <c r="O165">
        <f t="shared" si="10"/>
        <v>0.54600000000000004</v>
      </c>
      <c r="P165">
        <f t="shared" si="11"/>
        <v>595</v>
      </c>
      <c r="Q165">
        <f t="shared" ca="1" si="12"/>
        <v>633</v>
      </c>
      <c r="R165" t="str">
        <f t="shared" si="13"/>
        <v>High</v>
      </c>
      <c r="S165">
        <f t="shared" si="14"/>
        <v>51466.811868112323</v>
      </c>
    </row>
    <row r="166" spans="1:19" x14ac:dyDescent="0.35">
      <c r="A166" t="s">
        <v>177</v>
      </c>
      <c r="B166" t="s">
        <v>677</v>
      </c>
      <c r="C166" t="s">
        <v>1016</v>
      </c>
      <c r="D166" t="s">
        <v>1020</v>
      </c>
      <c r="E166" s="6">
        <v>6018</v>
      </c>
      <c r="F166" s="6">
        <v>32462.857490163049</v>
      </c>
      <c r="G166" t="s">
        <v>1023</v>
      </c>
      <c r="H166" s="3">
        <v>45587</v>
      </c>
      <c r="I166" s="3">
        <v>44981</v>
      </c>
      <c r="J166" s="3">
        <v>45612</v>
      </c>
      <c r="K166" t="s">
        <v>1025</v>
      </c>
      <c r="L166">
        <v>35</v>
      </c>
      <c r="M166" s="6">
        <v>12348</v>
      </c>
      <c r="O166">
        <f t="shared" si="10"/>
        <v>5.3940000000000001</v>
      </c>
      <c r="P166">
        <f t="shared" si="11"/>
        <v>631</v>
      </c>
      <c r="Q166">
        <f t="shared" ca="1" si="12"/>
        <v>376</v>
      </c>
      <c r="R166" t="str">
        <f t="shared" si="13"/>
        <v>Normal</v>
      </c>
      <c r="S166">
        <f t="shared" si="14"/>
        <v>32462.857490163049</v>
      </c>
    </row>
    <row r="167" spans="1:19" x14ac:dyDescent="0.35">
      <c r="A167" t="s">
        <v>178</v>
      </c>
      <c r="B167" t="s">
        <v>678</v>
      </c>
      <c r="C167" t="s">
        <v>1015</v>
      </c>
      <c r="D167" t="s">
        <v>1017</v>
      </c>
      <c r="E167" s="6">
        <v>13302</v>
      </c>
      <c r="F167" s="6">
        <v>1966.9983293660041</v>
      </c>
      <c r="G167" t="s">
        <v>1023</v>
      </c>
      <c r="H167" s="3">
        <v>45305</v>
      </c>
      <c r="I167" s="3">
        <v>45115</v>
      </c>
      <c r="J167" s="3">
        <v>45541</v>
      </c>
      <c r="K167" t="s">
        <v>1026</v>
      </c>
      <c r="L167">
        <v>28</v>
      </c>
      <c r="M167" s="6">
        <v>4230</v>
      </c>
      <c r="O167">
        <f t="shared" si="10"/>
        <v>0.14799999999999999</v>
      </c>
      <c r="P167">
        <f t="shared" si="11"/>
        <v>426</v>
      </c>
      <c r="Q167">
        <f t="shared" ca="1" si="12"/>
        <v>658</v>
      </c>
      <c r="R167" t="str">
        <f t="shared" si="13"/>
        <v>Normal</v>
      </c>
      <c r="S167">
        <f t="shared" si="14"/>
        <v>1966.9983293660041</v>
      </c>
    </row>
    <row r="168" spans="1:19" x14ac:dyDescent="0.35">
      <c r="A168" t="s">
        <v>179</v>
      </c>
      <c r="B168" t="s">
        <v>679</v>
      </c>
      <c r="C168" t="s">
        <v>1014</v>
      </c>
      <c r="D168" t="s">
        <v>1019</v>
      </c>
      <c r="E168" s="6">
        <v>69506</v>
      </c>
      <c r="F168" s="6">
        <v>48159.948406388627</v>
      </c>
      <c r="G168" t="s">
        <v>1022</v>
      </c>
      <c r="H168" s="3">
        <v>45555</v>
      </c>
      <c r="I168" s="3">
        <v>45125</v>
      </c>
      <c r="J168" s="3">
        <v>45364</v>
      </c>
      <c r="K168" t="s">
        <v>1026</v>
      </c>
      <c r="L168">
        <v>28</v>
      </c>
      <c r="M168" s="6">
        <v>6287</v>
      </c>
      <c r="O168">
        <f t="shared" si="10"/>
        <v>0.69299999999999995</v>
      </c>
      <c r="P168">
        <f t="shared" si="11"/>
        <v>239</v>
      </c>
      <c r="Q168">
        <f t="shared" ca="1" si="12"/>
        <v>408</v>
      </c>
      <c r="R168" t="str">
        <f t="shared" si="13"/>
        <v>High</v>
      </c>
      <c r="S168">
        <f t="shared" si="14"/>
        <v>48159.948406388627</v>
      </c>
    </row>
    <row r="169" spans="1:19" x14ac:dyDescent="0.35">
      <c r="A169" t="s">
        <v>180</v>
      </c>
      <c r="B169" t="s">
        <v>680</v>
      </c>
      <c r="C169" t="s">
        <v>1013</v>
      </c>
      <c r="D169" t="s">
        <v>1017</v>
      </c>
      <c r="E169" s="6">
        <v>43157</v>
      </c>
      <c r="F169" s="6">
        <v>26725.60791062846</v>
      </c>
      <c r="G169" t="s">
        <v>1023</v>
      </c>
      <c r="H169" s="3">
        <v>45536</v>
      </c>
      <c r="I169" s="3">
        <v>45135</v>
      </c>
      <c r="J169" s="3">
        <v>45496</v>
      </c>
      <c r="K169" t="s">
        <v>1026</v>
      </c>
      <c r="L169">
        <v>57</v>
      </c>
      <c r="M169" s="6">
        <v>6160</v>
      </c>
      <c r="O169">
        <f t="shared" si="10"/>
        <v>0.61899999999999999</v>
      </c>
      <c r="P169">
        <f t="shared" si="11"/>
        <v>361</v>
      </c>
      <c r="Q169">
        <f t="shared" ca="1" si="12"/>
        <v>427</v>
      </c>
      <c r="R169" t="str">
        <f t="shared" si="13"/>
        <v>Normal</v>
      </c>
      <c r="S169">
        <f t="shared" si="14"/>
        <v>26725.60791062846</v>
      </c>
    </row>
    <row r="170" spans="1:19" x14ac:dyDescent="0.35">
      <c r="A170" t="s">
        <v>181</v>
      </c>
      <c r="B170" t="s">
        <v>681</v>
      </c>
      <c r="C170" t="s">
        <v>1013</v>
      </c>
      <c r="D170" t="s">
        <v>1021</v>
      </c>
      <c r="E170" s="6">
        <v>56917</v>
      </c>
      <c r="F170" s="6">
        <v>23108.488466763429</v>
      </c>
      <c r="G170" t="s">
        <v>1023</v>
      </c>
      <c r="H170" s="3">
        <v>45440</v>
      </c>
      <c r="I170" s="3">
        <v>45212</v>
      </c>
      <c r="J170" s="3">
        <v>45419</v>
      </c>
      <c r="K170" t="s">
        <v>1025</v>
      </c>
      <c r="L170">
        <v>30</v>
      </c>
      <c r="M170" s="6">
        <v>14112</v>
      </c>
      <c r="O170">
        <f t="shared" si="10"/>
        <v>0.40600000000000003</v>
      </c>
      <c r="P170">
        <f t="shared" si="11"/>
        <v>207</v>
      </c>
      <c r="Q170">
        <f t="shared" ca="1" si="12"/>
        <v>523</v>
      </c>
      <c r="R170" t="str">
        <f t="shared" si="13"/>
        <v>High</v>
      </c>
      <c r="S170">
        <f t="shared" si="14"/>
        <v>23108.488466763429</v>
      </c>
    </row>
    <row r="171" spans="1:19" x14ac:dyDescent="0.35">
      <c r="A171" t="s">
        <v>182</v>
      </c>
      <c r="B171" t="s">
        <v>682</v>
      </c>
      <c r="C171" t="s">
        <v>1016</v>
      </c>
      <c r="D171" t="s">
        <v>1018</v>
      </c>
      <c r="E171" s="6">
        <v>94738</v>
      </c>
      <c r="F171" s="6">
        <v>61566.845699932921</v>
      </c>
      <c r="G171" t="s">
        <v>1023</v>
      </c>
      <c r="H171" s="3">
        <v>45359</v>
      </c>
      <c r="I171" s="3">
        <v>45245</v>
      </c>
      <c r="J171" s="3">
        <v>45319</v>
      </c>
      <c r="K171" t="s">
        <v>1026</v>
      </c>
      <c r="L171">
        <v>41</v>
      </c>
      <c r="M171" s="6">
        <v>9106</v>
      </c>
      <c r="O171">
        <f t="shared" si="10"/>
        <v>0.65</v>
      </c>
      <c r="P171">
        <f t="shared" si="11"/>
        <v>74</v>
      </c>
      <c r="Q171">
        <f t="shared" ca="1" si="12"/>
        <v>604</v>
      </c>
      <c r="R171" t="str">
        <f t="shared" si="13"/>
        <v>High</v>
      </c>
      <c r="S171">
        <f t="shared" si="14"/>
        <v>61566.845699932921</v>
      </c>
    </row>
    <row r="172" spans="1:19" x14ac:dyDescent="0.35">
      <c r="A172" t="s">
        <v>183</v>
      </c>
      <c r="B172" t="s">
        <v>683</v>
      </c>
      <c r="C172" t="s">
        <v>1014</v>
      </c>
      <c r="D172" t="s">
        <v>1017</v>
      </c>
      <c r="E172" s="6">
        <v>98646</v>
      </c>
      <c r="F172" s="6">
        <v>30022.055337629979</v>
      </c>
      <c r="G172" t="s">
        <v>1024</v>
      </c>
      <c r="H172" s="3">
        <v>45360</v>
      </c>
      <c r="I172" s="3">
        <v>45143</v>
      </c>
      <c r="J172" s="3">
        <v>45647</v>
      </c>
      <c r="K172" t="s">
        <v>1025</v>
      </c>
      <c r="L172">
        <v>52</v>
      </c>
      <c r="M172" s="6">
        <v>11689</v>
      </c>
      <c r="O172">
        <f t="shared" si="10"/>
        <v>0.30399999999999999</v>
      </c>
      <c r="P172">
        <f t="shared" si="11"/>
        <v>504</v>
      </c>
      <c r="Q172">
        <f t="shared" ca="1" si="12"/>
        <v>603</v>
      </c>
      <c r="R172" t="str">
        <f t="shared" si="13"/>
        <v>High</v>
      </c>
      <c r="S172">
        <f t="shared" si="14"/>
        <v>0</v>
      </c>
    </row>
    <row r="173" spans="1:19" x14ac:dyDescent="0.35">
      <c r="A173" t="s">
        <v>184</v>
      </c>
      <c r="B173" t="s">
        <v>684</v>
      </c>
      <c r="C173" t="s">
        <v>1015</v>
      </c>
      <c r="D173" t="s">
        <v>1017</v>
      </c>
      <c r="E173" s="6">
        <v>85122</v>
      </c>
      <c r="F173" s="6">
        <v>24654.03313366104</v>
      </c>
      <c r="G173" t="s">
        <v>1023</v>
      </c>
      <c r="H173" s="3">
        <v>45562</v>
      </c>
      <c r="I173" s="3">
        <v>44969</v>
      </c>
      <c r="J173" s="3">
        <v>45295</v>
      </c>
      <c r="K173" t="s">
        <v>1026</v>
      </c>
      <c r="L173">
        <v>55</v>
      </c>
      <c r="M173" s="6">
        <v>14046</v>
      </c>
      <c r="O173">
        <f t="shared" si="10"/>
        <v>0.28999999999999998</v>
      </c>
      <c r="P173">
        <f t="shared" si="11"/>
        <v>326</v>
      </c>
      <c r="Q173">
        <f t="shared" ca="1" si="12"/>
        <v>401</v>
      </c>
      <c r="R173" t="str">
        <f t="shared" si="13"/>
        <v>High</v>
      </c>
      <c r="S173">
        <f t="shared" si="14"/>
        <v>24654.03313366104</v>
      </c>
    </row>
    <row r="174" spans="1:19" x14ac:dyDescent="0.35">
      <c r="A174" t="s">
        <v>185</v>
      </c>
      <c r="B174" t="s">
        <v>685</v>
      </c>
      <c r="C174" t="s">
        <v>1013</v>
      </c>
      <c r="D174" t="s">
        <v>1018</v>
      </c>
      <c r="E174" s="6">
        <v>26519</v>
      </c>
      <c r="F174" s="6">
        <v>80651.891106861804</v>
      </c>
      <c r="G174" t="s">
        <v>1023</v>
      </c>
      <c r="H174" s="3">
        <v>45527</v>
      </c>
      <c r="I174" s="3">
        <v>44971</v>
      </c>
      <c r="J174" s="3">
        <v>45411</v>
      </c>
      <c r="K174" t="s">
        <v>1026</v>
      </c>
      <c r="L174">
        <v>64</v>
      </c>
      <c r="M174" s="6">
        <v>5171</v>
      </c>
      <c r="O174">
        <f t="shared" si="10"/>
        <v>3.0409999999999999</v>
      </c>
      <c r="P174">
        <f t="shared" si="11"/>
        <v>440</v>
      </c>
      <c r="Q174">
        <f t="shared" ca="1" si="12"/>
        <v>436</v>
      </c>
      <c r="R174" t="str">
        <f t="shared" si="13"/>
        <v>Normal</v>
      </c>
      <c r="S174">
        <f t="shared" si="14"/>
        <v>80651.891106861804</v>
      </c>
    </row>
    <row r="175" spans="1:19" x14ac:dyDescent="0.35">
      <c r="A175" t="s">
        <v>186</v>
      </c>
      <c r="B175" t="s">
        <v>686</v>
      </c>
      <c r="C175" t="s">
        <v>1014</v>
      </c>
      <c r="D175" t="s">
        <v>1021</v>
      </c>
      <c r="E175" s="6">
        <v>98809</v>
      </c>
      <c r="F175" s="6">
        <v>52209.657179922768</v>
      </c>
      <c r="G175" t="s">
        <v>1022</v>
      </c>
      <c r="H175" s="3">
        <v>45443</v>
      </c>
      <c r="I175" s="3">
        <v>44973</v>
      </c>
      <c r="J175" s="3">
        <v>45594</v>
      </c>
      <c r="K175" t="s">
        <v>1026</v>
      </c>
      <c r="L175">
        <v>42</v>
      </c>
      <c r="M175" s="6">
        <v>3567</v>
      </c>
      <c r="O175">
        <f t="shared" si="10"/>
        <v>0.52800000000000002</v>
      </c>
      <c r="P175">
        <f t="shared" si="11"/>
        <v>621</v>
      </c>
      <c r="Q175">
        <f t="shared" ca="1" si="12"/>
        <v>520</v>
      </c>
      <c r="R175" t="str">
        <f t="shared" si="13"/>
        <v>High</v>
      </c>
      <c r="S175">
        <f t="shared" si="14"/>
        <v>52209.657179922768</v>
      </c>
    </row>
    <row r="176" spans="1:19" x14ac:dyDescent="0.35">
      <c r="A176" t="s">
        <v>187</v>
      </c>
      <c r="B176" t="s">
        <v>687</v>
      </c>
      <c r="C176" t="s">
        <v>1014</v>
      </c>
      <c r="D176" t="s">
        <v>1020</v>
      </c>
      <c r="E176" s="6">
        <v>89487</v>
      </c>
      <c r="F176" s="6">
        <v>45240.649935396068</v>
      </c>
      <c r="G176" t="s">
        <v>1022</v>
      </c>
      <c r="H176" s="3">
        <v>45543</v>
      </c>
      <c r="I176" s="3">
        <v>45086</v>
      </c>
      <c r="J176" s="3">
        <v>45418</v>
      </c>
      <c r="K176" t="s">
        <v>1025</v>
      </c>
      <c r="L176">
        <v>64</v>
      </c>
      <c r="M176" s="6">
        <v>3151</v>
      </c>
      <c r="O176">
        <f t="shared" si="10"/>
        <v>0.50600000000000001</v>
      </c>
      <c r="P176">
        <f t="shared" si="11"/>
        <v>332</v>
      </c>
      <c r="Q176">
        <f t="shared" ca="1" si="12"/>
        <v>420</v>
      </c>
      <c r="R176" t="str">
        <f t="shared" si="13"/>
        <v>High</v>
      </c>
      <c r="S176">
        <f t="shared" si="14"/>
        <v>45240.649935396068</v>
      </c>
    </row>
    <row r="177" spans="1:19" x14ac:dyDescent="0.35">
      <c r="A177" t="s">
        <v>188</v>
      </c>
      <c r="B177" t="s">
        <v>688</v>
      </c>
      <c r="C177" t="s">
        <v>1016</v>
      </c>
      <c r="D177" t="s">
        <v>1017</v>
      </c>
      <c r="E177" s="6">
        <v>58819</v>
      </c>
      <c r="F177" s="6">
        <v>49855.03110609344</v>
      </c>
      <c r="G177" t="s">
        <v>1023</v>
      </c>
      <c r="H177" s="3">
        <v>45430</v>
      </c>
      <c r="I177" s="3">
        <v>45268</v>
      </c>
      <c r="J177" s="3">
        <v>45351</v>
      </c>
      <c r="K177" t="s">
        <v>1025</v>
      </c>
      <c r="L177">
        <v>64</v>
      </c>
      <c r="M177" s="6">
        <v>9619</v>
      </c>
      <c r="O177">
        <f t="shared" si="10"/>
        <v>0.84799999999999998</v>
      </c>
      <c r="P177">
        <f t="shared" si="11"/>
        <v>83</v>
      </c>
      <c r="Q177">
        <f t="shared" ca="1" si="12"/>
        <v>533</v>
      </c>
      <c r="R177" t="str">
        <f t="shared" si="13"/>
        <v>High</v>
      </c>
      <c r="S177">
        <f t="shared" si="14"/>
        <v>49855.03110609344</v>
      </c>
    </row>
    <row r="178" spans="1:19" x14ac:dyDescent="0.35">
      <c r="A178" t="s">
        <v>189</v>
      </c>
      <c r="B178" t="s">
        <v>689</v>
      </c>
      <c r="C178" t="s">
        <v>1013</v>
      </c>
      <c r="D178" t="s">
        <v>1018</v>
      </c>
      <c r="E178" s="6">
        <v>82910</v>
      </c>
      <c r="F178" s="6">
        <v>51456.325488369657</v>
      </c>
      <c r="G178" t="s">
        <v>1022</v>
      </c>
      <c r="H178" s="3">
        <v>45326</v>
      </c>
      <c r="I178" s="3">
        <v>45019</v>
      </c>
      <c r="J178" s="3">
        <v>45433</v>
      </c>
      <c r="K178" t="s">
        <v>1026</v>
      </c>
      <c r="L178">
        <v>53</v>
      </c>
      <c r="M178" s="6">
        <v>8033</v>
      </c>
      <c r="O178">
        <f t="shared" si="10"/>
        <v>0.621</v>
      </c>
      <c r="P178">
        <f t="shared" si="11"/>
        <v>414</v>
      </c>
      <c r="Q178">
        <f t="shared" ca="1" si="12"/>
        <v>637</v>
      </c>
      <c r="R178" t="str">
        <f t="shared" si="13"/>
        <v>High</v>
      </c>
      <c r="S178">
        <f t="shared" si="14"/>
        <v>51456.325488369657</v>
      </c>
    </row>
    <row r="179" spans="1:19" x14ac:dyDescent="0.35">
      <c r="A179" t="s">
        <v>190</v>
      </c>
      <c r="B179" t="s">
        <v>690</v>
      </c>
      <c r="C179" t="s">
        <v>1013</v>
      </c>
      <c r="D179" t="s">
        <v>1019</v>
      </c>
      <c r="E179" s="6">
        <v>73324</v>
      </c>
      <c r="F179" s="6">
        <v>31427.962892396481</v>
      </c>
      <c r="G179" t="s">
        <v>1023</v>
      </c>
      <c r="H179" s="3">
        <v>45521</v>
      </c>
      <c r="I179" s="3">
        <v>44956</v>
      </c>
      <c r="J179" s="3">
        <v>45325</v>
      </c>
      <c r="K179" t="s">
        <v>1025</v>
      </c>
      <c r="L179">
        <v>28</v>
      </c>
      <c r="M179" s="6">
        <v>10560</v>
      </c>
      <c r="O179">
        <f t="shared" si="10"/>
        <v>0.42899999999999999</v>
      </c>
      <c r="P179">
        <f t="shared" si="11"/>
        <v>369</v>
      </c>
      <c r="Q179">
        <f t="shared" ca="1" si="12"/>
        <v>442</v>
      </c>
      <c r="R179" t="str">
        <f t="shared" si="13"/>
        <v>High</v>
      </c>
      <c r="S179">
        <f t="shared" si="14"/>
        <v>31427.962892396481</v>
      </c>
    </row>
    <row r="180" spans="1:19" x14ac:dyDescent="0.35">
      <c r="A180" t="s">
        <v>191</v>
      </c>
      <c r="B180" t="s">
        <v>691</v>
      </c>
      <c r="C180" t="s">
        <v>1015</v>
      </c>
      <c r="D180" t="s">
        <v>1018</v>
      </c>
      <c r="E180" s="6">
        <v>7408</v>
      </c>
      <c r="F180" s="6">
        <v>0</v>
      </c>
      <c r="G180" t="s">
        <v>1023</v>
      </c>
      <c r="H180" s="3">
        <v>45325</v>
      </c>
      <c r="I180" s="3">
        <v>44985</v>
      </c>
      <c r="J180" s="3">
        <v>45363</v>
      </c>
      <c r="K180" t="s">
        <v>1026</v>
      </c>
      <c r="L180">
        <v>43</v>
      </c>
      <c r="M180" s="6">
        <v>6946</v>
      </c>
      <c r="O180">
        <f t="shared" si="10"/>
        <v>0</v>
      </c>
      <c r="P180">
        <f t="shared" si="11"/>
        <v>378</v>
      </c>
      <c r="Q180">
        <f t="shared" ca="1" si="12"/>
        <v>638</v>
      </c>
      <c r="R180" t="str">
        <f t="shared" si="13"/>
        <v>Normal</v>
      </c>
      <c r="S180">
        <f t="shared" si="14"/>
        <v>0</v>
      </c>
    </row>
    <row r="181" spans="1:19" x14ac:dyDescent="0.35">
      <c r="A181" t="s">
        <v>192</v>
      </c>
      <c r="B181" t="s">
        <v>692</v>
      </c>
      <c r="C181" t="s">
        <v>1013</v>
      </c>
      <c r="D181" t="s">
        <v>1019</v>
      </c>
      <c r="E181" s="6">
        <v>61379</v>
      </c>
      <c r="F181" s="6">
        <v>54457.251615549183</v>
      </c>
      <c r="G181" t="s">
        <v>1023</v>
      </c>
      <c r="H181" s="3">
        <v>45354</v>
      </c>
      <c r="I181" s="3">
        <v>45246</v>
      </c>
      <c r="J181" s="3">
        <v>45479</v>
      </c>
      <c r="K181" t="s">
        <v>1025</v>
      </c>
      <c r="L181">
        <v>27</v>
      </c>
      <c r="M181" s="6">
        <v>10234</v>
      </c>
      <c r="O181">
        <f t="shared" si="10"/>
        <v>0.88700000000000001</v>
      </c>
      <c r="P181">
        <f t="shared" si="11"/>
        <v>233</v>
      </c>
      <c r="Q181">
        <f t="shared" ca="1" si="12"/>
        <v>609</v>
      </c>
      <c r="R181" t="str">
        <f t="shared" si="13"/>
        <v>High</v>
      </c>
      <c r="S181">
        <f t="shared" si="14"/>
        <v>54457.251615549183</v>
      </c>
    </row>
    <row r="182" spans="1:19" x14ac:dyDescent="0.35">
      <c r="A182" t="s">
        <v>193</v>
      </c>
      <c r="B182" t="s">
        <v>693</v>
      </c>
      <c r="C182" t="s">
        <v>1015</v>
      </c>
      <c r="D182" t="s">
        <v>1021</v>
      </c>
      <c r="E182" s="6">
        <v>27053</v>
      </c>
      <c r="F182" s="6">
        <v>21727.633134673099</v>
      </c>
      <c r="G182" t="s">
        <v>1023</v>
      </c>
      <c r="H182" s="3">
        <v>45344</v>
      </c>
      <c r="I182" s="3">
        <v>45275</v>
      </c>
      <c r="J182" s="3">
        <v>45628</v>
      </c>
      <c r="K182" t="s">
        <v>1025</v>
      </c>
      <c r="L182">
        <v>26</v>
      </c>
      <c r="M182" s="6">
        <v>3907</v>
      </c>
      <c r="O182">
        <f t="shared" si="10"/>
        <v>0.80300000000000005</v>
      </c>
      <c r="P182">
        <f t="shared" si="11"/>
        <v>353</v>
      </c>
      <c r="Q182">
        <f t="shared" ca="1" si="12"/>
        <v>619</v>
      </c>
      <c r="R182" t="str">
        <f t="shared" si="13"/>
        <v>Normal</v>
      </c>
      <c r="S182">
        <f t="shared" si="14"/>
        <v>21727.633134673099</v>
      </c>
    </row>
    <row r="183" spans="1:19" x14ac:dyDescent="0.35">
      <c r="A183" t="s">
        <v>194</v>
      </c>
      <c r="B183" t="s">
        <v>694</v>
      </c>
      <c r="C183" t="s">
        <v>1013</v>
      </c>
      <c r="D183" t="s">
        <v>1020</v>
      </c>
      <c r="E183" s="6">
        <v>11446</v>
      </c>
      <c r="F183" s="6">
        <v>78943.6469531904</v>
      </c>
      <c r="G183" t="s">
        <v>1022</v>
      </c>
      <c r="H183" s="3">
        <v>45359</v>
      </c>
      <c r="I183" s="3">
        <v>45259</v>
      </c>
      <c r="J183" s="3">
        <v>45376</v>
      </c>
      <c r="K183" t="s">
        <v>1025</v>
      </c>
      <c r="L183">
        <v>55</v>
      </c>
      <c r="M183" s="6">
        <v>5490</v>
      </c>
      <c r="O183">
        <f t="shared" si="10"/>
        <v>6.8970000000000002</v>
      </c>
      <c r="P183">
        <f t="shared" si="11"/>
        <v>117</v>
      </c>
      <c r="Q183">
        <f t="shared" ca="1" si="12"/>
        <v>604</v>
      </c>
      <c r="R183" t="str">
        <f t="shared" si="13"/>
        <v>Normal</v>
      </c>
      <c r="S183">
        <f t="shared" si="14"/>
        <v>78943.6469531904</v>
      </c>
    </row>
    <row r="184" spans="1:19" x14ac:dyDescent="0.35">
      <c r="A184" t="s">
        <v>195</v>
      </c>
      <c r="B184" t="s">
        <v>695</v>
      </c>
      <c r="C184" t="s">
        <v>1016</v>
      </c>
      <c r="D184" t="s">
        <v>1018</v>
      </c>
      <c r="E184" s="6">
        <v>2922</v>
      </c>
      <c r="F184" s="6">
        <v>23310.528210011711</v>
      </c>
      <c r="G184" t="s">
        <v>1023</v>
      </c>
      <c r="H184" s="3">
        <v>45446</v>
      </c>
      <c r="I184" s="3">
        <v>44943</v>
      </c>
      <c r="J184" s="3">
        <v>45408</v>
      </c>
      <c r="K184" t="s">
        <v>1026</v>
      </c>
      <c r="L184">
        <v>37</v>
      </c>
      <c r="M184" s="6">
        <v>4535</v>
      </c>
      <c r="O184">
        <f t="shared" si="10"/>
        <v>7.9779999999999998</v>
      </c>
      <c r="P184">
        <f t="shared" si="11"/>
        <v>465</v>
      </c>
      <c r="Q184">
        <f t="shared" ca="1" si="12"/>
        <v>517</v>
      </c>
      <c r="R184" t="str">
        <f t="shared" si="13"/>
        <v>Normal</v>
      </c>
      <c r="S184">
        <f t="shared" si="14"/>
        <v>23310.528210011711</v>
      </c>
    </row>
    <row r="185" spans="1:19" x14ac:dyDescent="0.35">
      <c r="A185" t="s">
        <v>196</v>
      </c>
      <c r="B185" t="s">
        <v>696</v>
      </c>
      <c r="C185" t="s">
        <v>1013</v>
      </c>
      <c r="D185" t="s">
        <v>1017</v>
      </c>
      <c r="E185" s="6">
        <v>53356</v>
      </c>
      <c r="F185" s="6">
        <v>57168.033009433319</v>
      </c>
      <c r="G185" t="s">
        <v>1023</v>
      </c>
      <c r="H185" s="3">
        <v>45520</v>
      </c>
      <c r="I185" s="3">
        <v>45155</v>
      </c>
      <c r="J185" s="3">
        <v>45352</v>
      </c>
      <c r="K185" t="s">
        <v>1025</v>
      </c>
      <c r="L185">
        <v>22</v>
      </c>
      <c r="M185" s="6">
        <v>6173</v>
      </c>
      <c r="O185">
        <f t="shared" si="10"/>
        <v>1.071</v>
      </c>
      <c r="P185">
        <f t="shared" si="11"/>
        <v>197</v>
      </c>
      <c r="Q185">
        <f t="shared" ca="1" si="12"/>
        <v>443</v>
      </c>
      <c r="R185" t="str">
        <f t="shared" si="13"/>
        <v>High</v>
      </c>
      <c r="S185">
        <f t="shared" si="14"/>
        <v>57168.033009433319</v>
      </c>
    </row>
    <row r="186" spans="1:19" x14ac:dyDescent="0.35">
      <c r="A186" t="s">
        <v>197</v>
      </c>
      <c r="B186" t="s">
        <v>697</v>
      </c>
      <c r="C186" t="s">
        <v>1015</v>
      </c>
      <c r="D186" t="s">
        <v>1021</v>
      </c>
      <c r="E186" s="6">
        <v>12789</v>
      </c>
      <c r="F186" s="6">
        <v>50311.398716277698</v>
      </c>
      <c r="G186" t="s">
        <v>1022</v>
      </c>
      <c r="H186" s="3">
        <v>45357</v>
      </c>
      <c r="I186" s="3">
        <v>45068</v>
      </c>
      <c r="J186" s="3">
        <v>45341</v>
      </c>
      <c r="K186" t="s">
        <v>1025</v>
      </c>
      <c r="L186">
        <v>47</v>
      </c>
      <c r="M186" s="6">
        <v>13065</v>
      </c>
      <c r="O186">
        <f t="shared" si="10"/>
        <v>3.9340000000000002</v>
      </c>
      <c r="P186">
        <f t="shared" si="11"/>
        <v>273</v>
      </c>
      <c r="Q186">
        <f t="shared" ca="1" si="12"/>
        <v>606</v>
      </c>
      <c r="R186" t="str">
        <f t="shared" si="13"/>
        <v>Normal</v>
      </c>
      <c r="S186">
        <f t="shared" si="14"/>
        <v>50311.398716277698</v>
      </c>
    </row>
    <row r="187" spans="1:19" x14ac:dyDescent="0.35">
      <c r="A187" t="s">
        <v>198</v>
      </c>
      <c r="B187" t="s">
        <v>698</v>
      </c>
      <c r="C187" t="s">
        <v>1015</v>
      </c>
      <c r="D187" t="s">
        <v>1018</v>
      </c>
      <c r="E187" s="6">
        <v>99720</v>
      </c>
      <c r="F187" s="6">
        <v>27771.564361914021</v>
      </c>
      <c r="G187" t="s">
        <v>1022</v>
      </c>
      <c r="H187" s="3">
        <v>45403</v>
      </c>
      <c r="I187" s="3">
        <v>45093</v>
      </c>
      <c r="J187" s="3">
        <v>45408</v>
      </c>
      <c r="K187" t="s">
        <v>1026</v>
      </c>
      <c r="L187">
        <v>25</v>
      </c>
      <c r="M187" s="6">
        <v>12016</v>
      </c>
      <c r="O187">
        <f t="shared" si="10"/>
        <v>0.27800000000000002</v>
      </c>
      <c r="P187">
        <f t="shared" si="11"/>
        <v>315</v>
      </c>
      <c r="Q187">
        <f t="shared" ca="1" si="12"/>
        <v>560</v>
      </c>
      <c r="R187" t="str">
        <f t="shared" si="13"/>
        <v>High</v>
      </c>
      <c r="S187">
        <f t="shared" si="14"/>
        <v>27771.564361914021</v>
      </c>
    </row>
    <row r="188" spans="1:19" x14ac:dyDescent="0.35">
      <c r="A188" t="s">
        <v>199</v>
      </c>
      <c r="B188" t="s">
        <v>699</v>
      </c>
      <c r="C188" t="s">
        <v>1016</v>
      </c>
      <c r="D188" t="s">
        <v>1017</v>
      </c>
      <c r="E188" s="6">
        <v>68656</v>
      </c>
      <c r="F188" s="6">
        <v>40280.277274590837</v>
      </c>
      <c r="G188" t="s">
        <v>1023</v>
      </c>
      <c r="H188" s="3">
        <v>45416</v>
      </c>
      <c r="I188" s="3">
        <v>44993</v>
      </c>
      <c r="J188" s="3">
        <v>45347</v>
      </c>
      <c r="K188" t="s">
        <v>1026</v>
      </c>
      <c r="L188">
        <v>63</v>
      </c>
      <c r="M188" s="6">
        <v>3293</v>
      </c>
      <c r="O188">
        <f t="shared" si="10"/>
        <v>0.58699999999999997</v>
      </c>
      <c r="P188">
        <f t="shared" si="11"/>
        <v>354</v>
      </c>
      <c r="Q188">
        <f t="shared" ca="1" si="12"/>
        <v>547</v>
      </c>
      <c r="R188" t="str">
        <f t="shared" si="13"/>
        <v>High</v>
      </c>
      <c r="S188">
        <f t="shared" si="14"/>
        <v>40280.277274590837</v>
      </c>
    </row>
    <row r="189" spans="1:19" x14ac:dyDescent="0.35">
      <c r="A189" t="s">
        <v>200</v>
      </c>
      <c r="B189" t="s">
        <v>700</v>
      </c>
      <c r="C189" t="s">
        <v>1013</v>
      </c>
      <c r="D189" t="s">
        <v>1018</v>
      </c>
      <c r="E189" s="6">
        <v>46028</v>
      </c>
      <c r="F189" s="6">
        <v>12790.847378132061</v>
      </c>
      <c r="G189" t="s">
        <v>1023</v>
      </c>
      <c r="H189" s="3">
        <v>45579</v>
      </c>
      <c r="I189" s="3">
        <v>45116</v>
      </c>
      <c r="J189" s="3">
        <v>45517</v>
      </c>
      <c r="K189" t="s">
        <v>1026</v>
      </c>
      <c r="L189">
        <v>63</v>
      </c>
      <c r="M189" s="6">
        <v>6769</v>
      </c>
      <c r="O189">
        <f t="shared" si="10"/>
        <v>0.27800000000000002</v>
      </c>
      <c r="P189">
        <f t="shared" si="11"/>
        <v>401</v>
      </c>
      <c r="Q189">
        <f t="shared" ca="1" si="12"/>
        <v>384</v>
      </c>
      <c r="R189" t="str">
        <f t="shared" si="13"/>
        <v>Normal</v>
      </c>
      <c r="S189">
        <f t="shared" si="14"/>
        <v>12790.847378132061</v>
      </c>
    </row>
    <row r="190" spans="1:19" x14ac:dyDescent="0.35">
      <c r="A190" t="s">
        <v>201</v>
      </c>
      <c r="B190" t="s">
        <v>701</v>
      </c>
      <c r="C190" t="s">
        <v>1013</v>
      </c>
      <c r="D190" t="s">
        <v>1019</v>
      </c>
      <c r="E190" s="6">
        <v>66484</v>
      </c>
      <c r="F190" s="6">
        <v>0</v>
      </c>
      <c r="G190" t="s">
        <v>1023</v>
      </c>
      <c r="H190" s="3">
        <v>45305</v>
      </c>
      <c r="I190" s="3">
        <v>45291</v>
      </c>
      <c r="J190" s="3">
        <v>45607</v>
      </c>
      <c r="K190" t="s">
        <v>1026</v>
      </c>
      <c r="L190">
        <v>40</v>
      </c>
      <c r="M190" s="6">
        <v>6796</v>
      </c>
      <c r="O190">
        <f t="shared" si="10"/>
        <v>0</v>
      </c>
      <c r="P190">
        <f t="shared" si="11"/>
        <v>316</v>
      </c>
      <c r="Q190">
        <f t="shared" ca="1" si="12"/>
        <v>658</v>
      </c>
      <c r="R190" t="str">
        <f t="shared" si="13"/>
        <v>High</v>
      </c>
      <c r="S190">
        <f t="shared" si="14"/>
        <v>0</v>
      </c>
    </row>
    <row r="191" spans="1:19" x14ac:dyDescent="0.35">
      <c r="A191" t="s">
        <v>202</v>
      </c>
      <c r="B191" t="s">
        <v>702</v>
      </c>
      <c r="C191" t="s">
        <v>1016</v>
      </c>
      <c r="D191" t="s">
        <v>1018</v>
      </c>
      <c r="E191" s="6">
        <v>34154</v>
      </c>
      <c r="F191" s="6">
        <v>42550.221007914974</v>
      </c>
      <c r="G191" t="s">
        <v>1022</v>
      </c>
      <c r="H191" s="3">
        <v>45534</v>
      </c>
      <c r="I191" s="3">
        <v>45209</v>
      </c>
      <c r="J191" s="3">
        <v>45505</v>
      </c>
      <c r="K191" t="s">
        <v>1025</v>
      </c>
      <c r="L191">
        <v>47</v>
      </c>
      <c r="M191" s="6">
        <v>8871</v>
      </c>
      <c r="O191">
        <f t="shared" si="10"/>
        <v>1.246</v>
      </c>
      <c r="P191">
        <f t="shared" si="11"/>
        <v>296</v>
      </c>
      <c r="Q191">
        <f t="shared" ca="1" si="12"/>
        <v>429</v>
      </c>
      <c r="R191" t="str">
        <f t="shared" si="13"/>
        <v>Normal</v>
      </c>
      <c r="S191">
        <f t="shared" si="14"/>
        <v>42550.221007914974</v>
      </c>
    </row>
    <row r="192" spans="1:19" x14ac:dyDescent="0.35">
      <c r="A192" t="s">
        <v>203</v>
      </c>
      <c r="B192" t="s">
        <v>703</v>
      </c>
      <c r="C192" t="s">
        <v>1013</v>
      </c>
      <c r="D192" t="s">
        <v>1018</v>
      </c>
      <c r="E192" s="6">
        <v>84870</v>
      </c>
      <c r="F192" s="6">
        <v>56563.178960036537</v>
      </c>
      <c r="G192" t="s">
        <v>1023</v>
      </c>
      <c r="H192" s="3">
        <v>45398</v>
      </c>
      <c r="I192" s="3">
        <v>44982</v>
      </c>
      <c r="J192" s="3">
        <v>45417</v>
      </c>
      <c r="K192" t="s">
        <v>1025</v>
      </c>
      <c r="L192">
        <v>59</v>
      </c>
      <c r="M192" s="6">
        <v>13578</v>
      </c>
      <c r="O192">
        <f t="shared" si="10"/>
        <v>0.66600000000000004</v>
      </c>
      <c r="P192">
        <f t="shared" si="11"/>
        <v>435</v>
      </c>
      <c r="Q192">
        <f t="shared" ca="1" si="12"/>
        <v>565</v>
      </c>
      <c r="R192" t="str">
        <f t="shared" si="13"/>
        <v>High</v>
      </c>
      <c r="S192">
        <f t="shared" si="14"/>
        <v>56563.178960036537</v>
      </c>
    </row>
    <row r="193" spans="1:19" x14ac:dyDescent="0.35">
      <c r="A193" t="s">
        <v>204</v>
      </c>
      <c r="B193" t="s">
        <v>704</v>
      </c>
      <c r="C193" t="s">
        <v>1013</v>
      </c>
      <c r="D193" t="s">
        <v>1018</v>
      </c>
      <c r="E193" s="6">
        <v>4336</v>
      </c>
      <c r="F193" s="6">
        <v>45367.006488754938</v>
      </c>
      <c r="G193" t="s">
        <v>1024</v>
      </c>
      <c r="H193" s="3">
        <v>45551</v>
      </c>
      <c r="I193" s="3">
        <v>45019</v>
      </c>
      <c r="J193" s="3">
        <v>45606</v>
      </c>
      <c r="K193" t="s">
        <v>1025</v>
      </c>
      <c r="L193">
        <v>20</v>
      </c>
      <c r="M193" s="6">
        <v>4972</v>
      </c>
      <c r="O193">
        <f t="shared" si="10"/>
        <v>10.462999999999999</v>
      </c>
      <c r="P193">
        <f t="shared" si="11"/>
        <v>587</v>
      </c>
      <c r="Q193">
        <f t="shared" ca="1" si="12"/>
        <v>412</v>
      </c>
      <c r="R193" t="str">
        <f t="shared" si="13"/>
        <v>Normal</v>
      </c>
      <c r="S193">
        <f t="shared" si="14"/>
        <v>0</v>
      </c>
    </row>
    <row r="194" spans="1:19" x14ac:dyDescent="0.35">
      <c r="A194" t="s">
        <v>205</v>
      </c>
      <c r="B194" t="s">
        <v>705</v>
      </c>
      <c r="C194" t="s">
        <v>1015</v>
      </c>
      <c r="D194" t="s">
        <v>1021</v>
      </c>
      <c r="E194" s="6">
        <v>69779</v>
      </c>
      <c r="F194" s="6">
        <v>56835.930256329892</v>
      </c>
      <c r="G194" t="s">
        <v>1023</v>
      </c>
      <c r="H194" s="3">
        <v>45464</v>
      </c>
      <c r="I194" s="3">
        <v>45124</v>
      </c>
      <c r="J194" s="3">
        <v>45635</v>
      </c>
      <c r="K194" t="s">
        <v>1025</v>
      </c>
      <c r="L194">
        <v>55</v>
      </c>
      <c r="M194" s="6">
        <v>5922</v>
      </c>
      <c r="O194">
        <f t="shared" si="10"/>
        <v>0.81499999999999995</v>
      </c>
      <c r="P194">
        <f t="shared" si="11"/>
        <v>511</v>
      </c>
      <c r="Q194">
        <f t="shared" ca="1" si="12"/>
        <v>499</v>
      </c>
      <c r="R194" t="str">
        <f t="shared" si="13"/>
        <v>High</v>
      </c>
      <c r="S194">
        <f t="shared" si="14"/>
        <v>56835.930256329892</v>
      </c>
    </row>
    <row r="195" spans="1:19" x14ac:dyDescent="0.35">
      <c r="A195" t="s">
        <v>206</v>
      </c>
      <c r="B195" t="s">
        <v>706</v>
      </c>
      <c r="C195" t="s">
        <v>1013</v>
      </c>
      <c r="D195" t="s">
        <v>1018</v>
      </c>
      <c r="E195" s="6">
        <v>21029</v>
      </c>
      <c r="F195" s="6">
        <v>35919.748741418181</v>
      </c>
      <c r="G195" t="s">
        <v>1023</v>
      </c>
      <c r="H195" s="3">
        <v>45548</v>
      </c>
      <c r="I195" s="3">
        <v>45047</v>
      </c>
      <c r="J195" s="3">
        <v>45639</v>
      </c>
      <c r="K195" t="s">
        <v>1025</v>
      </c>
      <c r="L195">
        <v>40</v>
      </c>
      <c r="M195" s="6">
        <v>6997</v>
      </c>
      <c r="O195">
        <f t="shared" ref="O195:O258" si="15">IF(E195=0, 0, ROUND(F195 / E195, 3))</f>
        <v>1.708</v>
      </c>
      <c r="P195">
        <f t="shared" ref="P195:P258" si="16">IF(AND(ISNUMBER(I195), ISNUMBER(J195)), DATEDIF(I195, J195, "D"), "")</f>
        <v>592</v>
      </c>
      <c r="Q195">
        <f t="shared" ref="Q195:Q258" ca="1" si="17">IF(ISNUMBER(H195), TODAY() - H195, "")</f>
        <v>415</v>
      </c>
      <c r="R195" t="str">
        <f t="shared" ref="R195:R258" si="18">IF(E195&gt;50000, "High","Normal")</f>
        <v>Normal</v>
      </c>
      <c r="S195">
        <f t="shared" ref="S195:S258" si="19">IF(G195="Rejected", 0, F195)</f>
        <v>35919.748741418181</v>
      </c>
    </row>
    <row r="196" spans="1:19" x14ac:dyDescent="0.35">
      <c r="A196" t="s">
        <v>207</v>
      </c>
      <c r="B196" t="s">
        <v>707</v>
      </c>
      <c r="C196" t="s">
        <v>1013</v>
      </c>
      <c r="D196" t="s">
        <v>1017</v>
      </c>
      <c r="E196" s="6">
        <v>61201</v>
      </c>
      <c r="F196" s="6">
        <v>70179.127241785449</v>
      </c>
      <c r="G196" t="s">
        <v>1023</v>
      </c>
      <c r="H196" s="3">
        <v>45384</v>
      </c>
      <c r="I196" s="3">
        <v>45227</v>
      </c>
      <c r="J196" s="3">
        <v>45445</v>
      </c>
      <c r="K196" t="s">
        <v>1026</v>
      </c>
      <c r="L196">
        <v>62</v>
      </c>
      <c r="M196" s="6">
        <v>9032</v>
      </c>
      <c r="O196">
        <f t="shared" si="15"/>
        <v>1.147</v>
      </c>
      <c r="P196">
        <f t="shared" si="16"/>
        <v>218</v>
      </c>
      <c r="Q196">
        <f t="shared" ca="1" si="17"/>
        <v>579</v>
      </c>
      <c r="R196" t="str">
        <f t="shared" si="18"/>
        <v>High</v>
      </c>
      <c r="S196">
        <f t="shared" si="19"/>
        <v>70179.127241785449</v>
      </c>
    </row>
    <row r="197" spans="1:19" x14ac:dyDescent="0.35">
      <c r="A197" t="s">
        <v>208</v>
      </c>
      <c r="B197" t="s">
        <v>708</v>
      </c>
      <c r="C197" t="s">
        <v>1016</v>
      </c>
      <c r="D197" t="s">
        <v>1019</v>
      </c>
      <c r="E197" s="6">
        <v>34265</v>
      </c>
      <c r="F197" s="6">
        <v>45760.536434279791</v>
      </c>
      <c r="G197" t="s">
        <v>1023</v>
      </c>
      <c r="H197" s="3">
        <v>45438</v>
      </c>
      <c r="I197" s="3">
        <v>45175</v>
      </c>
      <c r="J197" s="3">
        <v>45618</v>
      </c>
      <c r="K197" t="s">
        <v>1025</v>
      </c>
      <c r="L197">
        <v>54</v>
      </c>
      <c r="M197" s="6">
        <v>2992</v>
      </c>
      <c r="O197">
        <f t="shared" si="15"/>
        <v>1.335</v>
      </c>
      <c r="P197">
        <f t="shared" si="16"/>
        <v>443</v>
      </c>
      <c r="Q197">
        <f t="shared" ca="1" si="17"/>
        <v>525</v>
      </c>
      <c r="R197" t="str">
        <f t="shared" si="18"/>
        <v>Normal</v>
      </c>
      <c r="S197">
        <f t="shared" si="19"/>
        <v>45760.536434279791</v>
      </c>
    </row>
    <row r="198" spans="1:19" x14ac:dyDescent="0.35">
      <c r="A198" t="s">
        <v>209</v>
      </c>
      <c r="B198" t="s">
        <v>709</v>
      </c>
      <c r="C198" t="s">
        <v>1016</v>
      </c>
      <c r="D198" t="s">
        <v>1019</v>
      </c>
      <c r="E198" s="6">
        <v>45872</v>
      </c>
      <c r="F198" s="6">
        <v>19757.485259324079</v>
      </c>
      <c r="G198" t="s">
        <v>1023</v>
      </c>
      <c r="H198" s="3">
        <v>45562</v>
      </c>
      <c r="I198" s="3">
        <v>44968</v>
      </c>
      <c r="J198" s="3">
        <v>45547</v>
      </c>
      <c r="K198" t="s">
        <v>1025</v>
      </c>
      <c r="L198">
        <v>32</v>
      </c>
      <c r="M198" s="6">
        <v>10112</v>
      </c>
      <c r="O198">
        <f t="shared" si="15"/>
        <v>0.43099999999999999</v>
      </c>
      <c r="P198">
        <f t="shared" si="16"/>
        <v>579</v>
      </c>
      <c r="Q198">
        <f t="shared" ca="1" si="17"/>
        <v>401</v>
      </c>
      <c r="R198" t="str">
        <f t="shared" si="18"/>
        <v>Normal</v>
      </c>
      <c r="S198">
        <f t="shared" si="19"/>
        <v>19757.485259324079</v>
      </c>
    </row>
    <row r="199" spans="1:19" x14ac:dyDescent="0.35">
      <c r="A199" t="s">
        <v>210</v>
      </c>
      <c r="B199" t="s">
        <v>710</v>
      </c>
      <c r="C199" t="s">
        <v>1014</v>
      </c>
      <c r="D199" t="s">
        <v>1018</v>
      </c>
      <c r="E199" s="6">
        <v>48197</v>
      </c>
      <c r="F199" s="6">
        <v>0</v>
      </c>
      <c r="G199" t="s">
        <v>1024</v>
      </c>
      <c r="H199" s="3">
        <v>45381</v>
      </c>
      <c r="I199" s="3">
        <v>45067</v>
      </c>
      <c r="J199" s="3">
        <v>45349</v>
      </c>
      <c r="K199" t="s">
        <v>1025</v>
      </c>
      <c r="L199">
        <v>68</v>
      </c>
      <c r="M199" s="6">
        <v>7287</v>
      </c>
      <c r="O199">
        <f t="shared" si="15"/>
        <v>0</v>
      </c>
      <c r="P199">
        <f t="shared" si="16"/>
        <v>282</v>
      </c>
      <c r="Q199">
        <f t="shared" ca="1" si="17"/>
        <v>582</v>
      </c>
      <c r="R199" t="str">
        <f t="shared" si="18"/>
        <v>Normal</v>
      </c>
      <c r="S199">
        <f t="shared" si="19"/>
        <v>0</v>
      </c>
    </row>
    <row r="200" spans="1:19" x14ac:dyDescent="0.35">
      <c r="A200" t="s">
        <v>211</v>
      </c>
      <c r="B200" t="s">
        <v>711</v>
      </c>
      <c r="C200" t="s">
        <v>1015</v>
      </c>
      <c r="D200" t="s">
        <v>1021</v>
      </c>
      <c r="E200" s="6">
        <v>57180</v>
      </c>
      <c r="F200" s="6">
        <v>25673.188276108711</v>
      </c>
      <c r="G200" t="s">
        <v>1023</v>
      </c>
      <c r="H200" s="3">
        <v>45560</v>
      </c>
      <c r="I200" s="3">
        <v>45063</v>
      </c>
      <c r="J200" s="3">
        <v>45518</v>
      </c>
      <c r="K200" t="s">
        <v>1026</v>
      </c>
      <c r="L200">
        <v>29</v>
      </c>
      <c r="M200" s="6">
        <v>12578</v>
      </c>
      <c r="O200">
        <f t="shared" si="15"/>
        <v>0.44900000000000001</v>
      </c>
      <c r="P200">
        <f t="shared" si="16"/>
        <v>455</v>
      </c>
      <c r="Q200">
        <f t="shared" ca="1" si="17"/>
        <v>403</v>
      </c>
      <c r="R200" t="str">
        <f t="shared" si="18"/>
        <v>High</v>
      </c>
      <c r="S200">
        <f t="shared" si="19"/>
        <v>25673.188276108711</v>
      </c>
    </row>
    <row r="201" spans="1:19" x14ac:dyDescent="0.35">
      <c r="A201" t="s">
        <v>212</v>
      </c>
      <c r="B201" t="s">
        <v>712</v>
      </c>
      <c r="C201" t="s">
        <v>1013</v>
      </c>
      <c r="D201" t="s">
        <v>1021</v>
      </c>
      <c r="E201" s="6">
        <v>25710</v>
      </c>
      <c r="F201" s="6">
        <v>39769.043286352178</v>
      </c>
      <c r="G201" t="s">
        <v>1023</v>
      </c>
      <c r="H201" s="3">
        <v>45509</v>
      </c>
      <c r="I201" s="3">
        <v>45071</v>
      </c>
      <c r="J201" s="3">
        <v>45568</v>
      </c>
      <c r="K201" t="s">
        <v>1026</v>
      </c>
      <c r="L201">
        <v>63</v>
      </c>
      <c r="M201" s="6">
        <v>4240</v>
      </c>
      <c r="O201">
        <f t="shared" si="15"/>
        <v>1.5469999999999999</v>
      </c>
      <c r="P201">
        <f t="shared" si="16"/>
        <v>497</v>
      </c>
      <c r="Q201">
        <f t="shared" ca="1" si="17"/>
        <v>454</v>
      </c>
      <c r="R201" t="str">
        <f t="shared" si="18"/>
        <v>Normal</v>
      </c>
      <c r="S201">
        <f t="shared" si="19"/>
        <v>39769.043286352178</v>
      </c>
    </row>
    <row r="202" spans="1:19" x14ac:dyDescent="0.35">
      <c r="A202" t="s">
        <v>213</v>
      </c>
      <c r="B202" t="s">
        <v>713</v>
      </c>
      <c r="C202" t="s">
        <v>1013</v>
      </c>
      <c r="D202" t="s">
        <v>1017</v>
      </c>
      <c r="E202" s="6">
        <v>31486</v>
      </c>
      <c r="F202" s="6">
        <v>4983.0212325508473</v>
      </c>
      <c r="G202" t="s">
        <v>1022</v>
      </c>
      <c r="H202" s="3">
        <v>45493</v>
      </c>
      <c r="I202" s="3">
        <v>45036</v>
      </c>
      <c r="J202" s="3">
        <v>45550</v>
      </c>
      <c r="K202" t="s">
        <v>1025</v>
      </c>
      <c r="L202">
        <v>66</v>
      </c>
      <c r="M202" s="6">
        <v>3476</v>
      </c>
      <c r="O202">
        <f t="shared" si="15"/>
        <v>0.158</v>
      </c>
      <c r="P202">
        <f t="shared" si="16"/>
        <v>514</v>
      </c>
      <c r="Q202">
        <f t="shared" ca="1" si="17"/>
        <v>470</v>
      </c>
      <c r="R202" t="str">
        <f t="shared" si="18"/>
        <v>Normal</v>
      </c>
      <c r="S202">
        <f t="shared" si="19"/>
        <v>4983.0212325508473</v>
      </c>
    </row>
    <row r="203" spans="1:19" x14ac:dyDescent="0.35">
      <c r="A203" t="s">
        <v>214</v>
      </c>
      <c r="B203" t="s">
        <v>714</v>
      </c>
      <c r="C203" t="s">
        <v>1014</v>
      </c>
      <c r="D203" t="s">
        <v>1018</v>
      </c>
      <c r="E203" s="6">
        <v>73907</v>
      </c>
      <c r="F203" s="6">
        <v>72891.844159347078</v>
      </c>
      <c r="G203" t="s">
        <v>1023</v>
      </c>
      <c r="H203" s="3">
        <v>45524</v>
      </c>
      <c r="I203" s="3">
        <v>45075</v>
      </c>
      <c r="J203" s="3">
        <v>45629</v>
      </c>
      <c r="K203" t="s">
        <v>1026</v>
      </c>
      <c r="L203">
        <v>29</v>
      </c>
      <c r="M203" s="6">
        <v>8426</v>
      </c>
      <c r="O203">
        <f t="shared" si="15"/>
        <v>0.98599999999999999</v>
      </c>
      <c r="P203">
        <f t="shared" si="16"/>
        <v>554</v>
      </c>
      <c r="Q203">
        <f t="shared" ca="1" si="17"/>
        <v>439</v>
      </c>
      <c r="R203" t="str">
        <f t="shared" si="18"/>
        <v>High</v>
      </c>
      <c r="S203">
        <f t="shared" si="19"/>
        <v>72891.844159347078</v>
      </c>
    </row>
    <row r="204" spans="1:19" x14ac:dyDescent="0.35">
      <c r="A204" t="s">
        <v>215</v>
      </c>
      <c r="B204" t="s">
        <v>715</v>
      </c>
      <c r="C204" t="s">
        <v>1013</v>
      </c>
      <c r="D204" t="s">
        <v>1019</v>
      </c>
      <c r="E204" s="6">
        <v>73895</v>
      </c>
      <c r="F204" s="6">
        <v>15076.185836034359</v>
      </c>
      <c r="G204" t="s">
        <v>1022</v>
      </c>
      <c r="H204" s="3">
        <v>45372</v>
      </c>
      <c r="I204" s="3">
        <v>45164</v>
      </c>
      <c r="J204" s="3">
        <v>45618</v>
      </c>
      <c r="K204" t="s">
        <v>1026</v>
      </c>
      <c r="L204">
        <v>65</v>
      </c>
      <c r="M204" s="6">
        <v>13599</v>
      </c>
      <c r="O204">
        <f t="shared" si="15"/>
        <v>0.20399999999999999</v>
      </c>
      <c r="P204">
        <f t="shared" si="16"/>
        <v>454</v>
      </c>
      <c r="Q204">
        <f t="shared" ca="1" si="17"/>
        <v>591</v>
      </c>
      <c r="R204" t="str">
        <f t="shared" si="18"/>
        <v>High</v>
      </c>
      <c r="S204">
        <f t="shared" si="19"/>
        <v>15076.185836034359</v>
      </c>
    </row>
    <row r="205" spans="1:19" x14ac:dyDescent="0.35">
      <c r="A205" t="s">
        <v>216</v>
      </c>
      <c r="B205" t="s">
        <v>716</v>
      </c>
      <c r="C205" t="s">
        <v>1015</v>
      </c>
      <c r="D205" t="s">
        <v>1021</v>
      </c>
      <c r="E205" s="6">
        <v>66435</v>
      </c>
      <c r="F205" s="6">
        <v>21509.279545196339</v>
      </c>
      <c r="G205" t="s">
        <v>1023</v>
      </c>
      <c r="H205" s="3">
        <v>45589</v>
      </c>
      <c r="I205" s="3">
        <v>45194</v>
      </c>
      <c r="J205" s="3">
        <v>45485</v>
      </c>
      <c r="K205" t="s">
        <v>1026</v>
      </c>
      <c r="L205">
        <v>32</v>
      </c>
      <c r="M205" s="6">
        <v>2389</v>
      </c>
      <c r="O205">
        <f t="shared" si="15"/>
        <v>0.32400000000000001</v>
      </c>
      <c r="P205">
        <f t="shared" si="16"/>
        <v>291</v>
      </c>
      <c r="Q205">
        <f t="shared" ca="1" si="17"/>
        <v>374</v>
      </c>
      <c r="R205" t="str">
        <f t="shared" si="18"/>
        <v>High</v>
      </c>
      <c r="S205">
        <f t="shared" si="19"/>
        <v>21509.279545196339</v>
      </c>
    </row>
    <row r="206" spans="1:19" x14ac:dyDescent="0.35">
      <c r="A206" t="s">
        <v>217</v>
      </c>
      <c r="B206" t="s">
        <v>717</v>
      </c>
      <c r="C206" t="s">
        <v>1014</v>
      </c>
      <c r="D206" t="s">
        <v>1018</v>
      </c>
      <c r="E206" s="6">
        <v>42631</v>
      </c>
      <c r="F206" s="6">
        <v>16059.19526889776</v>
      </c>
      <c r="G206" t="s">
        <v>1023</v>
      </c>
      <c r="H206" s="3">
        <v>45337</v>
      </c>
      <c r="I206" s="3">
        <v>45112</v>
      </c>
      <c r="J206" s="3">
        <v>45417</v>
      </c>
      <c r="K206" t="s">
        <v>1026</v>
      </c>
      <c r="L206">
        <v>56</v>
      </c>
      <c r="M206" s="6">
        <v>2999</v>
      </c>
      <c r="O206">
        <f t="shared" si="15"/>
        <v>0.377</v>
      </c>
      <c r="P206">
        <f t="shared" si="16"/>
        <v>305</v>
      </c>
      <c r="Q206">
        <f t="shared" ca="1" si="17"/>
        <v>626</v>
      </c>
      <c r="R206" t="str">
        <f t="shared" si="18"/>
        <v>Normal</v>
      </c>
      <c r="S206">
        <f t="shared" si="19"/>
        <v>16059.19526889776</v>
      </c>
    </row>
    <row r="207" spans="1:19" x14ac:dyDescent="0.35">
      <c r="A207" t="s">
        <v>218</v>
      </c>
      <c r="B207" t="s">
        <v>718</v>
      </c>
      <c r="C207" t="s">
        <v>1015</v>
      </c>
      <c r="D207" t="s">
        <v>1021</v>
      </c>
      <c r="E207" s="6">
        <v>22103</v>
      </c>
      <c r="F207" s="6">
        <v>16928.117271504561</v>
      </c>
      <c r="G207" t="s">
        <v>1023</v>
      </c>
      <c r="H207" s="3">
        <v>45309</v>
      </c>
      <c r="I207" s="3">
        <v>45273</v>
      </c>
      <c r="J207" s="3">
        <v>45486</v>
      </c>
      <c r="K207" t="s">
        <v>1026</v>
      </c>
      <c r="L207">
        <v>57</v>
      </c>
      <c r="M207" s="6">
        <v>14812</v>
      </c>
      <c r="O207">
        <f t="shared" si="15"/>
        <v>0.76600000000000001</v>
      </c>
      <c r="P207">
        <f t="shared" si="16"/>
        <v>213</v>
      </c>
      <c r="Q207">
        <f t="shared" ca="1" si="17"/>
        <v>654</v>
      </c>
      <c r="R207" t="str">
        <f t="shared" si="18"/>
        <v>Normal</v>
      </c>
      <c r="S207">
        <f t="shared" si="19"/>
        <v>16928.117271504561</v>
      </c>
    </row>
    <row r="208" spans="1:19" x14ac:dyDescent="0.35">
      <c r="A208" t="s">
        <v>219</v>
      </c>
      <c r="B208" t="s">
        <v>719</v>
      </c>
      <c r="C208" t="s">
        <v>1014</v>
      </c>
      <c r="D208" t="s">
        <v>1021</v>
      </c>
      <c r="E208" s="6">
        <v>66772</v>
      </c>
      <c r="F208" s="6">
        <v>8103.7201875105438</v>
      </c>
      <c r="G208" t="s">
        <v>1023</v>
      </c>
      <c r="H208" s="3">
        <v>45357</v>
      </c>
      <c r="I208" s="3">
        <v>45269</v>
      </c>
      <c r="J208" s="3">
        <v>45507</v>
      </c>
      <c r="K208" t="s">
        <v>1026</v>
      </c>
      <c r="L208">
        <v>43</v>
      </c>
      <c r="M208" s="6">
        <v>3855</v>
      </c>
      <c r="O208">
        <f t="shared" si="15"/>
        <v>0.121</v>
      </c>
      <c r="P208">
        <f t="shared" si="16"/>
        <v>238</v>
      </c>
      <c r="Q208">
        <f t="shared" ca="1" si="17"/>
        <v>606</v>
      </c>
      <c r="R208" t="str">
        <f t="shared" si="18"/>
        <v>High</v>
      </c>
      <c r="S208">
        <f t="shared" si="19"/>
        <v>8103.7201875105438</v>
      </c>
    </row>
    <row r="209" spans="1:19" x14ac:dyDescent="0.35">
      <c r="A209" t="s">
        <v>220</v>
      </c>
      <c r="B209" t="s">
        <v>720</v>
      </c>
      <c r="C209" t="s">
        <v>1014</v>
      </c>
      <c r="D209" t="s">
        <v>1019</v>
      </c>
      <c r="E209" s="6">
        <v>16382</v>
      </c>
      <c r="F209" s="6">
        <v>48441.141135198093</v>
      </c>
      <c r="G209" t="s">
        <v>1024</v>
      </c>
      <c r="H209" s="3">
        <v>45586</v>
      </c>
      <c r="I209" s="3">
        <v>45023</v>
      </c>
      <c r="J209" s="3">
        <v>45634</v>
      </c>
      <c r="K209" t="s">
        <v>1026</v>
      </c>
      <c r="L209">
        <v>21</v>
      </c>
      <c r="M209" s="6">
        <v>10125</v>
      </c>
      <c r="O209">
        <f t="shared" si="15"/>
        <v>2.9569999999999999</v>
      </c>
      <c r="P209">
        <f t="shared" si="16"/>
        <v>611</v>
      </c>
      <c r="Q209">
        <f t="shared" ca="1" si="17"/>
        <v>377</v>
      </c>
      <c r="R209" t="str">
        <f t="shared" si="18"/>
        <v>Normal</v>
      </c>
      <c r="S209">
        <f t="shared" si="19"/>
        <v>0</v>
      </c>
    </row>
    <row r="210" spans="1:19" x14ac:dyDescent="0.35">
      <c r="A210" t="s">
        <v>221</v>
      </c>
      <c r="B210" t="s">
        <v>721</v>
      </c>
      <c r="C210" t="s">
        <v>1016</v>
      </c>
      <c r="D210" t="s">
        <v>1020</v>
      </c>
      <c r="E210" s="6">
        <v>86291</v>
      </c>
      <c r="F210" s="6">
        <v>0</v>
      </c>
      <c r="G210" t="s">
        <v>1023</v>
      </c>
      <c r="H210" s="3">
        <v>45537</v>
      </c>
      <c r="I210" s="3">
        <v>45189</v>
      </c>
      <c r="J210" s="3">
        <v>45326</v>
      </c>
      <c r="K210" t="s">
        <v>1025</v>
      </c>
      <c r="L210">
        <v>41</v>
      </c>
      <c r="M210" s="6">
        <v>10850</v>
      </c>
      <c r="O210">
        <f t="shared" si="15"/>
        <v>0</v>
      </c>
      <c r="P210">
        <f t="shared" si="16"/>
        <v>137</v>
      </c>
      <c r="Q210">
        <f t="shared" ca="1" si="17"/>
        <v>426</v>
      </c>
      <c r="R210" t="str">
        <f t="shared" si="18"/>
        <v>High</v>
      </c>
      <c r="S210">
        <f t="shared" si="19"/>
        <v>0</v>
      </c>
    </row>
    <row r="211" spans="1:19" x14ac:dyDescent="0.35">
      <c r="A211" t="s">
        <v>222</v>
      </c>
      <c r="B211" t="s">
        <v>722</v>
      </c>
      <c r="C211" t="s">
        <v>1015</v>
      </c>
      <c r="D211" t="s">
        <v>1017</v>
      </c>
      <c r="E211" s="6">
        <v>5756</v>
      </c>
      <c r="F211" s="6">
        <v>6927.1847871243453</v>
      </c>
      <c r="G211" t="s">
        <v>1023</v>
      </c>
      <c r="H211" s="3">
        <v>45505</v>
      </c>
      <c r="I211" s="3">
        <v>44993</v>
      </c>
      <c r="J211" s="3">
        <v>45468</v>
      </c>
      <c r="K211" t="s">
        <v>1025</v>
      </c>
      <c r="L211">
        <v>36</v>
      </c>
      <c r="M211" s="6">
        <v>4763</v>
      </c>
      <c r="O211">
        <f t="shared" si="15"/>
        <v>1.2030000000000001</v>
      </c>
      <c r="P211">
        <f t="shared" si="16"/>
        <v>475</v>
      </c>
      <c r="Q211">
        <f t="shared" ca="1" si="17"/>
        <v>458</v>
      </c>
      <c r="R211" t="str">
        <f t="shared" si="18"/>
        <v>Normal</v>
      </c>
      <c r="S211">
        <f t="shared" si="19"/>
        <v>6927.1847871243453</v>
      </c>
    </row>
    <row r="212" spans="1:19" x14ac:dyDescent="0.35">
      <c r="A212" t="s">
        <v>223</v>
      </c>
      <c r="B212" t="s">
        <v>723</v>
      </c>
      <c r="C212" t="s">
        <v>1013</v>
      </c>
      <c r="D212" t="s">
        <v>1017</v>
      </c>
      <c r="E212" s="6">
        <v>22609</v>
      </c>
      <c r="F212" s="6">
        <v>0</v>
      </c>
      <c r="G212" t="s">
        <v>1023</v>
      </c>
      <c r="H212" s="3">
        <v>45334</v>
      </c>
      <c r="I212" s="3">
        <v>45109</v>
      </c>
      <c r="J212" s="3">
        <v>45476</v>
      </c>
      <c r="K212" t="s">
        <v>1026</v>
      </c>
      <c r="L212">
        <v>55</v>
      </c>
      <c r="M212" s="6">
        <v>5663</v>
      </c>
      <c r="O212">
        <f t="shared" si="15"/>
        <v>0</v>
      </c>
      <c r="P212">
        <f t="shared" si="16"/>
        <v>367</v>
      </c>
      <c r="Q212">
        <f t="shared" ca="1" si="17"/>
        <v>629</v>
      </c>
      <c r="R212" t="str">
        <f t="shared" si="18"/>
        <v>Normal</v>
      </c>
      <c r="S212">
        <f t="shared" si="19"/>
        <v>0</v>
      </c>
    </row>
    <row r="213" spans="1:19" x14ac:dyDescent="0.35">
      <c r="A213" t="s">
        <v>224</v>
      </c>
      <c r="B213" t="s">
        <v>724</v>
      </c>
      <c r="C213" t="s">
        <v>1013</v>
      </c>
      <c r="D213" t="s">
        <v>1019</v>
      </c>
      <c r="E213" s="6">
        <v>18478</v>
      </c>
      <c r="F213" s="6">
        <v>43102.999269597647</v>
      </c>
      <c r="G213" t="s">
        <v>1023</v>
      </c>
      <c r="H213" s="3">
        <v>45450</v>
      </c>
      <c r="I213" s="3">
        <v>45174</v>
      </c>
      <c r="J213" s="3">
        <v>45533</v>
      </c>
      <c r="K213" t="s">
        <v>1025</v>
      </c>
      <c r="L213">
        <v>33</v>
      </c>
      <c r="M213" s="6">
        <v>6986</v>
      </c>
      <c r="O213">
        <f t="shared" si="15"/>
        <v>2.3330000000000002</v>
      </c>
      <c r="P213">
        <f t="shared" si="16"/>
        <v>359</v>
      </c>
      <c r="Q213">
        <f t="shared" ca="1" si="17"/>
        <v>513</v>
      </c>
      <c r="R213" t="str">
        <f t="shared" si="18"/>
        <v>Normal</v>
      </c>
      <c r="S213">
        <f t="shared" si="19"/>
        <v>43102.999269597647</v>
      </c>
    </row>
    <row r="214" spans="1:19" x14ac:dyDescent="0.35">
      <c r="A214" t="s">
        <v>225</v>
      </c>
      <c r="B214" t="s">
        <v>725</v>
      </c>
      <c r="C214" t="s">
        <v>1015</v>
      </c>
      <c r="D214" t="s">
        <v>1021</v>
      </c>
      <c r="E214" s="6">
        <v>41666</v>
      </c>
      <c r="F214" s="6">
        <v>56588.104563725552</v>
      </c>
      <c r="G214" t="s">
        <v>1022</v>
      </c>
      <c r="H214" s="3">
        <v>45308</v>
      </c>
      <c r="I214" s="3">
        <v>45255</v>
      </c>
      <c r="J214" s="3">
        <v>45387</v>
      </c>
      <c r="K214" t="s">
        <v>1025</v>
      </c>
      <c r="L214">
        <v>29</v>
      </c>
      <c r="M214" s="6">
        <v>3481</v>
      </c>
      <c r="O214">
        <f t="shared" si="15"/>
        <v>1.3580000000000001</v>
      </c>
      <c r="P214">
        <f t="shared" si="16"/>
        <v>132</v>
      </c>
      <c r="Q214">
        <f t="shared" ca="1" si="17"/>
        <v>655</v>
      </c>
      <c r="R214" t="str">
        <f t="shared" si="18"/>
        <v>Normal</v>
      </c>
      <c r="S214">
        <f t="shared" si="19"/>
        <v>56588.104563725552</v>
      </c>
    </row>
    <row r="215" spans="1:19" x14ac:dyDescent="0.35">
      <c r="A215" t="s">
        <v>226</v>
      </c>
      <c r="B215" t="s">
        <v>726</v>
      </c>
      <c r="C215" t="s">
        <v>1013</v>
      </c>
      <c r="D215" t="s">
        <v>1018</v>
      </c>
      <c r="E215" s="6">
        <v>77683</v>
      </c>
      <c r="F215" s="6">
        <v>61276.37493755194</v>
      </c>
      <c r="G215" t="s">
        <v>1023</v>
      </c>
      <c r="H215" s="3">
        <v>45364</v>
      </c>
      <c r="I215" s="3">
        <v>45183</v>
      </c>
      <c r="J215" s="3">
        <v>45308</v>
      </c>
      <c r="K215" t="s">
        <v>1026</v>
      </c>
      <c r="L215">
        <v>54</v>
      </c>
      <c r="M215" s="6">
        <v>9256</v>
      </c>
      <c r="O215">
        <f t="shared" si="15"/>
        <v>0.78900000000000003</v>
      </c>
      <c r="P215">
        <f t="shared" si="16"/>
        <v>125</v>
      </c>
      <c r="Q215">
        <f t="shared" ca="1" si="17"/>
        <v>599</v>
      </c>
      <c r="R215" t="str">
        <f t="shared" si="18"/>
        <v>High</v>
      </c>
      <c r="S215">
        <f t="shared" si="19"/>
        <v>61276.37493755194</v>
      </c>
    </row>
    <row r="216" spans="1:19" x14ac:dyDescent="0.35">
      <c r="A216" t="s">
        <v>227</v>
      </c>
      <c r="B216" t="s">
        <v>727</v>
      </c>
      <c r="C216" t="s">
        <v>1013</v>
      </c>
      <c r="D216" t="s">
        <v>1021</v>
      </c>
      <c r="E216" s="6">
        <v>73315</v>
      </c>
      <c r="F216" s="6">
        <v>32778.262904004201</v>
      </c>
      <c r="G216" t="s">
        <v>1023</v>
      </c>
      <c r="H216" s="3">
        <v>45387</v>
      </c>
      <c r="I216" s="3">
        <v>45279</v>
      </c>
      <c r="J216" s="3">
        <v>45480</v>
      </c>
      <c r="K216" t="s">
        <v>1025</v>
      </c>
      <c r="L216">
        <v>44</v>
      </c>
      <c r="M216" s="6">
        <v>5731</v>
      </c>
      <c r="O216">
        <f t="shared" si="15"/>
        <v>0.44700000000000001</v>
      </c>
      <c r="P216">
        <f t="shared" si="16"/>
        <v>201</v>
      </c>
      <c r="Q216">
        <f t="shared" ca="1" si="17"/>
        <v>576</v>
      </c>
      <c r="R216" t="str">
        <f t="shared" si="18"/>
        <v>High</v>
      </c>
      <c r="S216">
        <f t="shared" si="19"/>
        <v>32778.262904004201</v>
      </c>
    </row>
    <row r="217" spans="1:19" x14ac:dyDescent="0.35">
      <c r="A217" t="s">
        <v>228</v>
      </c>
      <c r="B217" t="s">
        <v>728</v>
      </c>
      <c r="C217" t="s">
        <v>1015</v>
      </c>
      <c r="D217" t="s">
        <v>1019</v>
      </c>
      <c r="E217" s="6">
        <v>79834</v>
      </c>
      <c r="F217" s="6">
        <v>0</v>
      </c>
      <c r="G217" t="s">
        <v>1024</v>
      </c>
      <c r="H217" s="3">
        <v>45576</v>
      </c>
      <c r="I217" s="3">
        <v>45029</v>
      </c>
      <c r="J217" s="3">
        <v>45456</v>
      </c>
      <c r="K217" t="s">
        <v>1026</v>
      </c>
      <c r="L217">
        <v>22</v>
      </c>
      <c r="M217" s="6">
        <v>9262</v>
      </c>
      <c r="O217">
        <f t="shared" si="15"/>
        <v>0</v>
      </c>
      <c r="P217">
        <f t="shared" si="16"/>
        <v>427</v>
      </c>
      <c r="Q217">
        <f t="shared" ca="1" si="17"/>
        <v>387</v>
      </c>
      <c r="R217" t="str">
        <f t="shared" si="18"/>
        <v>High</v>
      </c>
      <c r="S217">
        <f t="shared" si="19"/>
        <v>0</v>
      </c>
    </row>
    <row r="218" spans="1:19" x14ac:dyDescent="0.35">
      <c r="A218" t="s">
        <v>229</v>
      </c>
      <c r="B218" t="s">
        <v>729</v>
      </c>
      <c r="C218" t="s">
        <v>1014</v>
      </c>
      <c r="D218" t="s">
        <v>1017</v>
      </c>
      <c r="E218" s="6">
        <v>16153</v>
      </c>
      <c r="F218" s="6">
        <v>15247.31436839814</v>
      </c>
      <c r="G218" t="s">
        <v>1023</v>
      </c>
      <c r="H218" s="3">
        <v>45521</v>
      </c>
      <c r="I218" s="3">
        <v>45273</v>
      </c>
      <c r="J218" s="3">
        <v>45579</v>
      </c>
      <c r="K218" t="s">
        <v>1026</v>
      </c>
      <c r="L218">
        <v>66</v>
      </c>
      <c r="M218" s="6">
        <v>2451</v>
      </c>
      <c r="O218">
        <f t="shared" si="15"/>
        <v>0.94399999999999995</v>
      </c>
      <c r="P218">
        <f t="shared" si="16"/>
        <v>306</v>
      </c>
      <c r="Q218">
        <f t="shared" ca="1" si="17"/>
        <v>442</v>
      </c>
      <c r="R218" t="str">
        <f t="shared" si="18"/>
        <v>Normal</v>
      </c>
      <c r="S218">
        <f t="shared" si="19"/>
        <v>15247.31436839814</v>
      </c>
    </row>
    <row r="219" spans="1:19" x14ac:dyDescent="0.35">
      <c r="A219" t="s">
        <v>230</v>
      </c>
      <c r="B219" t="s">
        <v>730</v>
      </c>
      <c r="C219" t="s">
        <v>1015</v>
      </c>
      <c r="D219" t="s">
        <v>1021</v>
      </c>
      <c r="E219" s="6">
        <v>78325</v>
      </c>
      <c r="F219" s="6">
        <v>72327.779341987945</v>
      </c>
      <c r="G219" t="s">
        <v>1024</v>
      </c>
      <c r="H219" s="3">
        <v>45336</v>
      </c>
      <c r="I219" s="3">
        <v>45119</v>
      </c>
      <c r="J219" s="3">
        <v>45493</v>
      </c>
      <c r="K219" t="s">
        <v>1026</v>
      </c>
      <c r="L219">
        <v>57</v>
      </c>
      <c r="M219" s="6">
        <v>12667</v>
      </c>
      <c r="O219">
        <f t="shared" si="15"/>
        <v>0.92300000000000004</v>
      </c>
      <c r="P219">
        <f t="shared" si="16"/>
        <v>374</v>
      </c>
      <c r="Q219">
        <f t="shared" ca="1" si="17"/>
        <v>627</v>
      </c>
      <c r="R219" t="str">
        <f t="shared" si="18"/>
        <v>High</v>
      </c>
      <c r="S219">
        <f t="shared" si="19"/>
        <v>0</v>
      </c>
    </row>
    <row r="220" spans="1:19" x14ac:dyDescent="0.35">
      <c r="A220" t="s">
        <v>231</v>
      </c>
      <c r="B220" t="s">
        <v>731</v>
      </c>
      <c r="C220" t="s">
        <v>1014</v>
      </c>
      <c r="D220" t="s">
        <v>1017</v>
      </c>
      <c r="E220" s="6">
        <v>14999</v>
      </c>
      <c r="F220" s="6">
        <v>25825.846271245631</v>
      </c>
      <c r="G220" t="s">
        <v>1023</v>
      </c>
      <c r="H220" s="3">
        <v>45445</v>
      </c>
      <c r="I220" s="3">
        <v>45281</v>
      </c>
      <c r="J220" s="3">
        <v>45428</v>
      </c>
      <c r="K220" t="s">
        <v>1025</v>
      </c>
      <c r="L220">
        <v>36</v>
      </c>
      <c r="M220" s="6">
        <v>13414</v>
      </c>
      <c r="O220">
        <f t="shared" si="15"/>
        <v>1.722</v>
      </c>
      <c r="P220">
        <f t="shared" si="16"/>
        <v>147</v>
      </c>
      <c r="Q220">
        <f t="shared" ca="1" si="17"/>
        <v>518</v>
      </c>
      <c r="R220" t="str">
        <f t="shared" si="18"/>
        <v>Normal</v>
      </c>
      <c r="S220">
        <f t="shared" si="19"/>
        <v>25825.846271245631</v>
      </c>
    </row>
    <row r="221" spans="1:19" x14ac:dyDescent="0.35">
      <c r="A221" t="s">
        <v>232</v>
      </c>
      <c r="B221" t="s">
        <v>732</v>
      </c>
      <c r="C221" t="s">
        <v>1013</v>
      </c>
      <c r="D221" t="s">
        <v>1018</v>
      </c>
      <c r="E221" s="6">
        <v>57318</v>
      </c>
      <c r="F221" s="6">
        <v>26829.805142121819</v>
      </c>
      <c r="G221" t="s">
        <v>1023</v>
      </c>
      <c r="H221" s="3">
        <v>45430</v>
      </c>
      <c r="I221" s="3">
        <v>45054</v>
      </c>
      <c r="J221" s="3">
        <v>45328</v>
      </c>
      <c r="K221" t="s">
        <v>1025</v>
      </c>
      <c r="L221">
        <v>31</v>
      </c>
      <c r="M221" s="6">
        <v>11729</v>
      </c>
      <c r="O221">
        <f t="shared" si="15"/>
        <v>0.46800000000000003</v>
      </c>
      <c r="P221">
        <f t="shared" si="16"/>
        <v>274</v>
      </c>
      <c r="Q221">
        <f t="shared" ca="1" si="17"/>
        <v>533</v>
      </c>
      <c r="R221" t="str">
        <f t="shared" si="18"/>
        <v>High</v>
      </c>
      <c r="S221">
        <f t="shared" si="19"/>
        <v>26829.805142121819</v>
      </c>
    </row>
    <row r="222" spans="1:19" x14ac:dyDescent="0.35">
      <c r="A222" t="s">
        <v>233</v>
      </c>
      <c r="B222" t="s">
        <v>733</v>
      </c>
      <c r="C222" t="s">
        <v>1013</v>
      </c>
      <c r="D222" t="s">
        <v>1017</v>
      </c>
      <c r="E222" s="6">
        <v>2814</v>
      </c>
      <c r="F222" s="6">
        <v>55796.571653980027</v>
      </c>
      <c r="G222" t="s">
        <v>1023</v>
      </c>
      <c r="H222" s="3">
        <v>45352</v>
      </c>
      <c r="I222" s="3">
        <v>44940</v>
      </c>
      <c r="J222" s="3">
        <v>45562</v>
      </c>
      <c r="K222" t="s">
        <v>1025</v>
      </c>
      <c r="L222">
        <v>43</v>
      </c>
      <c r="M222" s="6">
        <v>5093</v>
      </c>
      <c r="O222">
        <f t="shared" si="15"/>
        <v>19.827999999999999</v>
      </c>
      <c r="P222">
        <f t="shared" si="16"/>
        <v>622</v>
      </c>
      <c r="Q222">
        <f t="shared" ca="1" si="17"/>
        <v>611</v>
      </c>
      <c r="R222" t="str">
        <f t="shared" si="18"/>
        <v>Normal</v>
      </c>
      <c r="S222">
        <f t="shared" si="19"/>
        <v>55796.571653980027</v>
      </c>
    </row>
    <row r="223" spans="1:19" x14ac:dyDescent="0.35">
      <c r="A223" t="s">
        <v>234</v>
      </c>
      <c r="B223" t="s">
        <v>734</v>
      </c>
      <c r="C223" t="s">
        <v>1013</v>
      </c>
      <c r="D223" t="s">
        <v>1017</v>
      </c>
      <c r="E223" s="6">
        <v>78077</v>
      </c>
      <c r="F223" s="6">
        <v>35850.623421423341</v>
      </c>
      <c r="G223" t="s">
        <v>1022</v>
      </c>
      <c r="H223" s="3">
        <v>45458</v>
      </c>
      <c r="I223" s="3">
        <v>45071</v>
      </c>
      <c r="J223" s="3">
        <v>45654</v>
      </c>
      <c r="K223" t="s">
        <v>1025</v>
      </c>
      <c r="L223">
        <v>48</v>
      </c>
      <c r="M223" s="6">
        <v>2882</v>
      </c>
      <c r="O223">
        <f t="shared" si="15"/>
        <v>0.45900000000000002</v>
      </c>
      <c r="P223">
        <f t="shared" si="16"/>
        <v>583</v>
      </c>
      <c r="Q223">
        <f t="shared" ca="1" si="17"/>
        <v>505</v>
      </c>
      <c r="R223" t="str">
        <f t="shared" si="18"/>
        <v>High</v>
      </c>
      <c r="S223">
        <f t="shared" si="19"/>
        <v>35850.623421423341</v>
      </c>
    </row>
    <row r="224" spans="1:19" x14ac:dyDescent="0.35">
      <c r="A224" t="s">
        <v>235</v>
      </c>
      <c r="B224" t="s">
        <v>735</v>
      </c>
      <c r="C224" t="s">
        <v>1016</v>
      </c>
      <c r="D224" t="s">
        <v>1020</v>
      </c>
      <c r="E224" s="6">
        <v>92474</v>
      </c>
      <c r="F224" s="6">
        <v>11398.478651019221</v>
      </c>
      <c r="G224" t="s">
        <v>1024</v>
      </c>
      <c r="H224" s="3">
        <v>45377</v>
      </c>
      <c r="I224" s="3">
        <v>45181</v>
      </c>
      <c r="J224" s="3">
        <v>45546</v>
      </c>
      <c r="K224" t="s">
        <v>1026</v>
      </c>
      <c r="L224">
        <v>62</v>
      </c>
      <c r="M224" s="6">
        <v>6408</v>
      </c>
      <c r="O224">
        <f t="shared" si="15"/>
        <v>0.123</v>
      </c>
      <c r="P224">
        <f t="shared" si="16"/>
        <v>365</v>
      </c>
      <c r="Q224">
        <f t="shared" ca="1" si="17"/>
        <v>586</v>
      </c>
      <c r="R224" t="str">
        <f t="shared" si="18"/>
        <v>High</v>
      </c>
      <c r="S224">
        <f t="shared" si="19"/>
        <v>0</v>
      </c>
    </row>
    <row r="225" spans="1:19" x14ac:dyDescent="0.35">
      <c r="A225" t="s">
        <v>236</v>
      </c>
      <c r="B225" t="s">
        <v>736</v>
      </c>
      <c r="C225" t="s">
        <v>1014</v>
      </c>
      <c r="D225" t="s">
        <v>1020</v>
      </c>
      <c r="E225" s="6">
        <v>4443</v>
      </c>
      <c r="F225" s="6">
        <v>82898.658846950973</v>
      </c>
      <c r="G225" t="s">
        <v>1023</v>
      </c>
      <c r="H225" s="3">
        <v>45529</v>
      </c>
      <c r="I225" s="3">
        <v>44933</v>
      </c>
      <c r="J225" s="3">
        <v>45328</v>
      </c>
      <c r="K225" t="s">
        <v>1026</v>
      </c>
      <c r="L225">
        <v>44</v>
      </c>
      <c r="M225" s="6">
        <v>6068</v>
      </c>
      <c r="O225">
        <f t="shared" si="15"/>
        <v>18.658000000000001</v>
      </c>
      <c r="P225">
        <f t="shared" si="16"/>
        <v>395</v>
      </c>
      <c r="Q225">
        <f t="shared" ca="1" si="17"/>
        <v>434</v>
      </c>
      <c r="R225" t="str">
        <f t="shared" si="18"/>
        <v>Normal</v>
      </c>
      <c r="S225">
        <f t="shared" si="19"/>
        <v>82898.658846950973</v>
      </c>
    </row>
    <row r="226" spans="1:19" x14ac:dyDescent="0.35">
      <c r="A226" t="s">
        <v>237</v>
      </c>
      <c r="B226" t="s">
        <v>737</v>
      </c>
      <c r="C226" t="s">
        <v>1016</v>
      </c>
      <c r="D226" t="s">
        <v>1020</v>
      </c>
      <c r="E226" s="6">
        <v>77993</v>
      </c>
      <c r="F226" s="6">
        <v>23535.592248056961</v>
      </c>
      <c r="G226" t="s">
        <v>1023</v>
      </c>
      <c r="H226" s="3">
        <v>45294</v>
      </c>
      <c r="I226" s="3">
        <v>44970</v>
      </c>
      <c r="J226" s="3">
        <v>45360</v>
      </c>
      <c r="K226" t="s">
        <v>1025</v>
      </c>
      <c r="L226">
        <v>55</v>
      </c>
      <c r="M226" s="6">
        <v>12758</v>
      </c>
      <c r="O226">
        <f t="shared" si="15"/>
        <v>0.30199999999999999</v>
      </c>
      <c r="P226">
        <f t="shared" si="16"/>
        <v>390</v>
      </c>
      <c r="Q226">
        <f t="shared" ca="1" si="17"/>
        <v>669</v>
      </c>
      <c r="R226" t="str">
        <f t="shared" si="18"/>
        <v>High</v>
      </c>
      <c r="S226">
        <f t="shared" si="19"/>
        <v>23535.592248056961</v>
      </c>
    </row>
    <row r="227" spans="1:19" x14ac:dyDescent="0.35">
      <c r="A227" t="s">
        <v>238</v>
      </c>
      <c r="B227" t="s">
        <v>738</v>
      </c>
      <c r="C227" t="s">
        <v>1016</v>
      </c>
      <c r="D227" t="s">
        <v>1017</v>
      </c>
      <c r="E227" s="6">
        <v>77916</v>
      </c>
      <c r="F227" s="6">
        <v>52497.417258584253</v>
      </c>
      <c r="G227" t="s">
        <v>1023</v>
      </c>
      <c r="H227" s="3">
        <v>45489</v>
      </c>
      <c r="I227" s="3">
        <v>45189</v>
      </c>
      <c r="J227" s="3">
        <v>45629</v>
      </c>
      <c r="K227" t="s">
        <v>1026</v>
      </c>
      <c r="L227">
        <v>45</v>
      </c>
      <c r="M227" s="6">
        <v>5277</v>
      </c>
      <c r="O227">
        <f t="shared" si="15"/>
        <v>0.67400000000000004</v>
      </c>
      <c r="P227">
        <f t="shared" si="16"/>
        <v>440</v>
      </c>
      <c r="Q227">
        <f t="shared" ca="1" si="17"/>
        <v>474</v>
      </c>
      <c r="R227" t="str">
        <f t="shared" si="18"/>
        <v>High</v>
      </c>
      <c r="S227">
        <f t="shared" si="19"/>
        <v>52497.417258584253</v>
      </c>
    </row>
    <row r="228" spans="1:19" x14ac:dyDescent="0.35">
      <c r="A228" t="s">
        <v>239</v>
      </c>
      <c r="B228" t="s">
        <v>739</v>
      </c>
      <c r="C228" t="s">
        <v>1015</v>
      </c>
      <c r="D228" t="s">
        <v>1019</v>
      </c>
      <c r="E228" s="6">
        <v>75319</v>
      </c>
      <c r="F228" s="6">
        <v>16021.500168080151</v>
      </c>
      <c r="G228" t="s">
        <v>1023</v>
      </c>
      <c r="H228" s="3">
        <v>45386</v>
      </c>
      <c r="I228" s="3">
        <v>44944</v>
      </c>
      <c r="J228" s="3">
        <v>45374</v>
      </c>
      <c r="K228" t="s">
        <v>1026</v>
      </c>
      <c r="L228">
        <v>57</v>
      </c>
      <c r="M228" s="6">
        <v>10566</v>
      </c>
      <c r="O228">
        <f t="shared" si="15"/>
        <v>0.21299999999999999</v>
      </c>
      <c r="P228">
        <f t="shared" si="16"/>
        <v>430</v>
      </c>
      <c r="Q228">
        <f t="shared" ca="1" si="17"/>
        <v>577</v>
      </c>
      <c r="R228" t="str">
        <f t="shared" si="18"/>
        <v>High</v>
      </c>
      <c r="S228">
        <f t="shared" si="19"/>
        <v>16021.500168080151</v>
      </c>
    </row>
    <row r="229" spans="1:19" x14ac:dyDescent="0.35">
      <c r="A229" t="s">
        <v>240</v>
      </c>
      <c r="B229" t="s">
        <v>740</v>
      </c>
      <c r="C229" t="s">
        <v>1016</v>
      </c>
      <c r="D229" t="s">
        <v>1017</v>
      </c>
      <c r="E229" s="6">
        <v>19368</v>
      </c>
      <c r="F229" s="6">
        <v>44984.980629165562</v>
      </c>
      <c r="G229" t="s">
        <v>1023</v>
      </c>
      <c r="H229" s="3">
        <v>45361</v>
      </c>
      <c r="I229" s="3">
        <v>45223</v>
      </c>
      <c r="J229" s="3">
        <v>45643</v>
      </c>
      <c r="K229" t="s">
        <v>1025</v>
      </c>
      <c r="L229">
        <v>20</v>
      </c>
      <c r="M229" s="6">
        <v>14738</v>
      </c>
      <c r="O229">
        <f t="shared" si="15"/>
        <v>2.323</v>
      </c>
      <c r="P229">
        <f t="shared" si="16"/>
        <v>420</v>
      </c>
      <c r="Q229">
        <f t="shared" ca="1" si="17"/>
        <v>602</v>
      </c>
      <c r="R229" t="str">
        <f t="shared" si="18"/>
        <v>Normal</v>
      </c>
      <c r="S229">
        <f t="shared" si="19"/>
        <v>44984.980629165562</v>
      </c>
    </row>
    <row r="230" spans="1:19" x14ac:dyDescent="0.35">
      <c r="A230" t="s">
        <v>241</v>
      </c>
      <c r="B230" t="s">
        <v>741</v>
      </c>
      <c r="C230" t="s">
        <v>1015</v>
      </c>
      <c r="D230" t="s">
        <v>1019</v>
      </c>
      <c r="E230" s="6">
        <v>17328</v>
      </c>
      <c r="F230" s="6">
        <v>28484.22748938706</v>
      </c>
      <c r="G230" t="s">
        <v>1024</v>
      </c>
      <c r="H230" s="3">
        <v>45524</v>
      </c>
      <c r="I230" s="3">
        <v>45152</v>
      </c>
      <c r="J230" s="3">
        <v>45599</v>
      </c>
      <c r="K230" t="s">
        <v>1026</v>
      </c>
      <c r="L230">
        <v>39</v>
      </c>
      <c r="M230" s="6">
        <v>13889</v>
      </c>
      <c r="O230">
        <f t="shared" si="15"/>
        <v>1.6439999999999999</v>
      </c>
      <c r="P230">
        <f t="shared" si="16"/>
        <v>447</v>
      </c>
      <c r="Q230">
        <f t="shared" ca="1" si="17"/>
        <v>439</v>
      </c>
      <c r="R230" t="str">
        <f t="shared" si="18"/>
        <v>Normal</v>
      </c>
      <c r="S230">
        <f t="shared" si="19"/>
        <v>0</v>
      </c>
    </row>
    <row r="231" spans="1:19" x14ac:dyDescent="0.35">
      <c r="A231" t="s">
        <v>242</v>
      </c>
      <c r="B231" t="s">
        <v>742</v>
      </c>
      <c r="C231" t="s">
        <v>1015</v>
      </c>
      <c r="D231" t="s">
        <v>1019</v>
      </c>
      <c r="E231" s="6">
        <v>58942</v>
      </c>
      <c r="F231" s="6">
        <v>47381.836747738947</v>
      </c>
      <c r="G231" t="s">
        <v>1023</v>
      </c>
      <c r="H231" s="3">
        <v>45484</v>
      </c>
      <c r="I231" s="3">
        <v>45047</v>
      </c>
      <c r="J231" s="3">
        <v>45339</v>
      </c>
      <c r="K231" t="s">
        <v>1025</v>
      </c>
      <c r="L231">
        <v>47</v>
      </c>
      <c r="M231" s="6">
        <v>9951</v>
      </c>
      <c r="O231">
        <f t="shared" si="15"/>
        <v>0.80400000000000005</v>
      </c>
      <c r="P231">
        <f t="shared" si="16"/>
        <v>292</v>
      </c>
      <c r="Q231">
        <f t="shared" ca="1" si="17"/>
        <v>479</v>
      </c>
      <c r="R231" t="str">
        <f t="shared" si="18"/>
        <v>High</v>
      </c>
      <c r="S231">
        <f t="shared" si="19"/>
        <v>47381.836747738947</v>
      </c>
    </row>
    <row r="232" spans="1:19" x14ac:dyDescent="0.35">
      <c r="A232" t="s">
        <v>243</v>
      </c>
      <c r="B232" t="s">
        <v>743</v>
      </c>
      <c r="C232" t="s">
        <v>1016</v>
      </c>
      <c r="D232" t="s">
        <v>1020</v>
      </c>
      <c r="E232" s="6">
        <v>93751</v>
      </c>
      <c r="F232" s="6">
        <v>42472.676446420272</v>
      </c>
      <c r="G232" t="s">
        <v>1023</v>
      </c>
      <c r="H232" s="3">
        <v>45335</v>
      </c>
      <c r="I232" s="3">
        <v>45187</v>
      </c>
      <c r="J232" s="3">
        <v>45602</v>
      </c>
      <c r="K232" t="s">
        <v>1026</v>
      </c>
      <c r="L232">
        <v>35</v>
      </c>
      <c r="M232" s="6">
        <v>13254</v>
      </c>
      <c r="O232">
        <f t="shared" si="15"/>
        <v>0.45300000000000001</v>
      </c>
      <c r="P232">
        <f t="shared" si="16"/>
        <v>415</v>
      </c>
      <c r="Q232">
        <f t="shared" ca="1" si="17"/>
        <v>628</v>
      </c>
      <c r="R232" t="str">
        <f t="shared" si="18"/>
        <v>High</v>
      </c>
      <c r="S232">
        <f t="shared" si="19"/>
        <v>42472.676446420272</v>
      </c>
    </row>
    <row r="233" spans="1:19" x14ac:dyDescent="0.35">
      <c r="A233" t="s">
        <v>244</v>
      </c>
      <c r="B233" t="s">
        <v>744</v>
      </c>
      <c r="C233" t="s">
        <v>1014</v>
      </c>
      <c r="D233" t="s">
        <v>1021</v>
      </c>
      <c r="E233" s="6">
        <v>29306</v>
      </c>
      <c r="F233" s="6">
        <v>43700.420988487327</v>
      </c>
      <c r="G233" t="s">
        <v>1023</v>
      </c>
      <c r="H233" s="3">
        <v>45557</v>
      </c>
      <c r="I233" s="3">
        <v>44931</v>
      </c>
      <c r="J233" s="3">
        <v>45582</v>
      </c>
      <c r="K233" t="s">
        <v>1025</v>
      </c>
      <c r="L233">
        <v>66</v>
      </c>
      <c r="M233" s="6">
        <v>6690</v>
      </c>
      <c r="O233">
        <f t="shared" si="15"/>
        <v>1.4910000000000001</v>
      </c>
      <c r="P233">
        <f t="shared" si="16"/>
        <v>651</v>
      </c>
      <c r="Q233">
        <f t="shared" ca="1" si="17"/>
        <v>406</v>
      </c>
      <c r="R233" t="str">
        <f t="shared" si="18"/>
        <v>Normal</v>
      </c>
      <c r="S233">
        <f t="shared" si="19"/>
        <v>43700.420988487327</v>
      </c>
    </row>
    <row r="234" spans="1:19" x14ac:dyDescent="0.35">
      <c r="A234" t="s">
        <v>245</v>
      </c>
      <c r="B234" t="s">
        <v>745</v>
      </c>
      <c r="C234" t="s">
        <v>1014</v>
      </c>
      <c r="D234" t="s">
        <v>1018</v>
      </c>
      <c r="E234" s="6">
        <v>87451</v>
      </c>
      <c r="F234" s="6">
        <v>62886.980799784957</v>
      </c>
      <c r="G234" t="s">
        <v>1023</v>
      </c>
      <c r="H234" s="3">
        <v>45426</v>
      </c>
      <c r="I234" s="3">
        <v>45239</v>
      </c>
      <c r="J234" s="3">
        <v>45532</v>
      </c>
      <c r="K234" t="s">
        <v>1026</v>
      </c>
      <c r="L234">
        <v>36</v>
      </c>
      <c r="M234" s="6">
        <v>13442</v>
      </c>
      <c r="O234">
        <f t="shared" si="15"/>
        <v>0.71899999999999997</v>
      </c>
      <c r="P234">
        <f t="shared" si="16"/>
        <v>293</v>
      </c>
      <c r="Q234">
        <f t="shared" ca="1" si="17"/>
        <v>537</v>
      </c>
      <c r="R234" t="str">
        <f t="shared" si="18"/>
        <v>High</v>
      </c>
      <c r="S234">
        <f t="shared" si="19"/>
        <v>62886.980799784957</v>
      </c>
    </row>
    <row r="235" spans="1:19" x14ac:dyDescent="0.35">
      <c r="A235" t="s">
        <v>246</v>
      </c>
      <c r="B235" t="s">
        <v>746</v>
      </c>
      <c r="C235" t="s">
        <v>1014</v>
      </c>
      <c r="D235" t="s">
        <v>1020</v>
      </c>
      <c r="E235" s="6">
        <v>41915</v>
      </c>
      <c r="F235" s="6">
        <v>22157.708286341742</v>
      </c>
      <c r="G235" t="s">
        <v>1023</v>
      </c>
      <c r="H235" s="3">
        <v>45435</v>
      </c>
      <c r="I235" s="3">
        <v>45262</v>
      </c>
      <c r="J235" s="3">
        <v>45615</v>
      </c>
      <c r="K235" t="s">
        <v>1026</v>
      </c>
      <c r="L235">
        <v>59</v>
      </c>
      <c r="M235" s="6">
        <v>6595</v>
      </c>
      <c r="O235">
        <f t="shared" si="15"/>
        <v>0.52900000000000003</v>
      </c>
      <c r="P235">
        <f t="shared" si="16"/>
        <v>353</v>
      </c>
      <c r="Q235">
        <f t="shared" ca="1" si="17"/>
        <v>528</v>
      </c>
      <c r="R235" t="str">
        <f t="shared" si="18"/>
        <v>Normal</v>
      </c>
      <c r="S235">
        <f t="shared" si="19"/>
        <v>22157.708286341742</v>
      </c>
    </row>
    <row r="236" spans="1:19" x14ac:dyDescent="0.35">
      <c r="A236" t="s">
        <v>247</v>
      </c>
      <c r="B236" t="s">
        <v>747</v>
      </c>
      <c r="C236" t="s">
        <v>1014</v>
      </c>
      <c r="D236" t="s">
        <v>1020</v>
      </c>
      <c r="E236" s="6">
        <v>39219</v>
      </c>
      <c r="F236" s="6">
        <v>19551.342934540909</v>
      </c>
      <c r="G236" t="s">
        <v>1023</v>
      </c>
      <c r="H236" s="3">
        <v>45456</v>
      </c>
      <c r="I236" s="3">
        <v>45148</v>
      </c>
      <c r="J236" s="3">
        <v>45386</v>
      </c>
      <c r="K236" t="s">
        <v>1025</v>
      </c>
      <c r="L236">
        <v>47</v>
      </c>
      <c r="M236" s="6">
        <v>6559</v>
      </c>
      <c r="O236">
        <f t="shared" si="15"/>
        <v>0.499</v>
      </c>
      <c r="P236">
        <f t="shared" si="16"/>
        <v>238</v>
      </c>
      <c r="Q236">
        <f t="shared" ca="1" si="17"/>
        <v>507</v>
      </c>
      <c r="R236" t="str">
        <f t="shared" si="18"/>
        <v>Normal</v>
      </c>
      <c r="S236">
        <f t="shared" si="19"/>
        <v>19551.342934540909</v>
      </c>
    </row>
    <row r="237" spans="1:19" x14ac:dyDescent="0.35">
      <c r="A237" t="s">
        <v>248</v>
      </c>
      <c r="B237" t="s">
        <v>748</v>
      </c>
      <c r="C237" t="s">
        <v>1014</v>
      </c>
      <c r="D237" t="s">
        <v>1021</v>
      </c>
      <c r="E237" s="6">
        <v>82879</v>
      </c>
      <c r="F237" s="6">
        <v>43432.036863662113</v>
      </c>
      <c r="G237" t="s">
        <v>1022</v>
      </c>
      <c r="H237" s="3">
        <v>45471</v>
      </c>
      <c r="I237" s="3">
        <v>45291</v>
      </c>
      <c r="J237" s="3">
        <v>45334</v>
      </c>
      <c r="K237" t="s">
        <v>1025</v>
      </c>
      <c r="L237">
        <v>31</v>
      </c>
      <c r="M237" s="6">
        <v>9291</v>
      </c>
      <c r="O237">
        <f t="shared" si="15"/>
        <v>0.52400000000000002</v>
      </c>
      <c r="P237">
        <f t="shared" si="16"/>
        <v>43</v>
      </c>
      <c r="Q237">
        <f t="shared" ca="1" si="17"/>
        <v>492</v>
      </c>
      <c r="R237" t="str">
        <f t="shared" si="18"/>
        <v>High</v>
      </c>
      <c r="S237">
        <f t="shared" si="19"/>
        <v>43432.036863662113</v>
      </c>
    </row>
    <row r="238" spans="1:19" x14ac:dyDescent="0.35">
      <c r="A238" t="s">
        <v>249</v>
      </c>
      <c r="B238" t="s">
        <v>749</v>
      </c>
      <c r="C238" t="s">
        <v>1016</v>
      </c>
      <c r="D238" t="s">
        <v>1018</v>
      </c>
      <c r="E238" s="6">
        <v>66644</v>
      </c>
      <c r="F238" s="6">
        <v>53955.800586543199</v>
      </c>
      <c r="G238" t="s">
        <v>1023</v>
      </c>
      <c r="H238" s="3">
        <v>45292</v>
      </c>
      <c r="I238" s="3">
        <v>44937</v>
      </c>
      <c r="J238" s="3">
        <v>45372</v>
      </c>
      <c r="K238" t="s">
        <v>1025</v>
      </c>
      <c r="L238">
        <v>46</v>
      </c>
      <c r="M238" s="6">
        <v>10160</v>
      </c>
      <c r="O238">
        <f t="shared" si="15"/>
        <v>0.81</v>
      </c>
      <c r="P238">
        <f t="shared" si="16"/>
        <v>435</v>
      </c>
      <c r="Q238">
        <f t="shared" ca="1" si="17"/>
        <v>671</v>
      </c>
      <c r="R238" t="str">
        <f t="shared" si="18"/>
        <v>High</v>
      </c>
      <c r="S238">
        <f t="shared" si="19"/>
        <v>53955.800586543199</v>
      </c>
    </row>
    <row r="239" spans="1:19" x14ac:dyDescent="0.35">
      <c r="A239" t="s">
        <v>250</v>
      </c>
      <c r="B239" t="s">
        <v>750</v>
      </c>
      <c r="C239" t="s">
        <v>1016</v>
      </c>
      <c r="D239" t="s">
        <v>1017</v>
      </c>
      <c r="E239" s="6">
        <v>62279</v>
      </c>
      <c r="F239" s="6">
        <v>12073.33115256909</v>
      </c>
      <c r="G239" t="s">
        <v>1023</v>
      </c>
      <c r="H239" s="3">
        <v>45310</v>
      </c>
      <c r="I239" s="3">
        <v>45178</v>
      </c>
      <c r="J239" s="3">
        <v>45351</v>
      </c>
      <c r="K239" t="s">
        <v>1025</v>
      </c>
      <c r="L239">
        <v>61</v>
      </c>
      <c r="M239" s="6">
        <v>2112</v>
      </c>
      <c r="O239">
        <f t="shared" si="15"/>
        <v>0.19400000000000001</v>
      </c>
      <c r="P239">
        <f t="shared" si="16"/>
        <v>173</v>
      </c>
      <c r="Q239">
        <f t="shared" ca="1" si="17"/>
        <v>653</v>
      </c>
      <c r="R239" t="str">
        <f t="shared" si="18"/>
        <v>High</v>
      </c>
      <c r="S239">
        <f t="shared" si="19"/>
        <v>12073.33115256909</v>
      </c>
    </row>
    <row r="240" spans="1:19" x14ac:dyDescent="0.35">
      <c r="A240" t="s">
        <v>251</v>
      </c>
      <c r="B240" t="s">
        <v>751</v>
      </c>
      <c r="C240" t="s">
        <v>1013</v>
      </c>
      <c r="D240" t="s">
        <v>1017</v>
      </c>
      <c r="E240" s="6">
        <v>55028</v>
      </c>
      <c r="F240" s="6">
        <v>3815.959568392665</v>
      </c>
      <c r="G240" t="s">
        <v>1023</v>
      </c>
      <c r="H240" s="3">
        <v>45407</v>
      </c>
      <c r="I240" s="3">
        <v>45196</v>
      </c>
      <c r="J240" s="3">
        <v>45508</v>
      </c>
      <c r="K240" t="s">
        <v>1026</v>
      </c>
      <c r="L240">
        <v>66</v>
      </c>
      <c r="M240" s="6">
        <v>7131</v>
      </c>
      <c r="O240">
        <f t="shared" si="15"/>
        <v>6.9000000000000006E-2</v>
      </c>
      <c r="P240">
        <f t="shared" si="16"/>
        <v>312</v>
      </c>
      <c r="Q240">
        <f t="shared" ca="1" si="17"/>
        <v>556</v>
      </c>
      <c r="R240" t="str">
        <f t="shared" si="18"/>
        <v>High</v>
      </c>
      <c r="S240">
        <f t="shared" si="19"/>
        <v>3815.959568392665</v>
      </c>
    </row>
    <row r="241" spans="1:19" x14ac:dyDescent="0.35">
      <c r="A241" t="s">
        <v>252</v>
      </c>
      <c r="B241" t="s">
        <v>752</v>
      </c>
      <c r="C241" t="s">
        <v>1014</v>
      </c>
      <c r="D241" t="s">
        <v>1020</v>
      </c>
      <c r="E241" s="6">
        <v>2126</v>
      </c>
      <c r="F241" s="6">
        <v>51477.790163358128</v>
      </c>
      <c r="G241" t="s">
        <v>1022</v>
      </c>
      <c r="H241" s="3">
        <v>45415</v>
      </c>
      <c r="I241" s="3">
        <v>44987</v>
      </c>
      <c r="J241" s="3">
        <v>45631</v>
      </c>
      <c r="K241" t="s">
        <v>1026</v>
      </c>
      <c r="L241">
        <v>49</v>
      </c>
      <c r="M241" s="6">
        <v>5197</v>
      </c>
      <c r="O241">
        <f t="shared" si="15"/>
        <v>24.213000000000001</v>
      </c>
      <c r="P241">
        <f t="shared" si="16"/>
        <v>644</v>
      </c>
      <c r="Q241">
        <f t="shared" ca="1" si="17"/>
        <v>548</v>
      </c>
      <c r="R241" t="str">
        <f t="shared" si="18"/>
        <v>Normal</v>
      </c>
      <c r="S241">
        <f t="shared" si="19"/>
        <v>51477.790163358128</v>
      </c>
    </row>
    <row r="242" spans="1:19" x14ac:dyDescent="0.35">
      <c r="A242" t="s">
        <v>253</v>
      </c>
      <c r="B242" t="s">
        <v>753</v>
      </c>
      <c r="C242" t="s">
        <v>1016</v>
      </c>
      <c r="D242" t="s">
        <v>1018</v>
      </c>
      <c r="E242" s="6">
        <v>54329</v>
      </c>
      <c r="F242" s="6">
        <v>36816.213777696132</v>
      </c>
      <c r="G242" t="s">
        <v>1022</v>
      </c>
      <c r="H242" s="3">
        <v>45502</v>
      </c>
      <c r="I242" s="3">
        <v>45203</v>
      </c>
      <c r="J242" s="3">
        <v>45342</v>
      </c>
      <c r="K242" t="s">
        <v>1025</v>
      </c>
      <c r="L242">
        <v>60</v>
      </c>
      <c r="M242" s="6">
        <v>12570</v>
      </c>
      <c r="O242">
        <f t="shared" si="15"/>
        <v>0.67800000000000005</v>
      </c>
      <c r="P242">
        <f t="shared" si="16"/>
        <v>139</v>
      </c>
      <c r="Q242">
        <f t="shared" ca="1" si="17"/>
        <v>461</v>
      </c>
      <c r="R242" t="str">
        <f t="shared" si="18"/>
        <v>High</v>
      </c>
      <c r="S242">
        <f t="shared" si="19"/>
        <v>36816.213777696132</v>
      </c>
    </row>
    <row r="243" spans="1:19" x14ac:dyDescent="0.35">
      <c r="A243" t="s">
        <v>254</v>
      </c>
      <c r="B243" t="s">
        <v>754</v>
      </c>
      <c r="C243" t="s">
        <v>1013</v>
      </c>
      <c r="D243" t="s">
        <v>1020</v>
      </c>
      <c r="E243" s="6">
        <v>29632</v>
      </c>
      <c r="F243" s="6">
        <v>69147.310942517157</v>
      </c>
      <c r="G243" t="s">
        <v>1023</v>
      </c>
      <c r="H243" s="3">
        <v>45447</v>
      </c>
      <c r="I243" s="3">
        <v>44955</v>
      </c>
      <c r="J243" s="3">
        <v>45628</v>
      </c>
      <c r="K243" t="s">
        <v>1026</v>
      </c>
      <c r="L243">
        <v>53</v>
      </c>
      <c r="M243" s="6">
        <v>12116</v>
      </c>
      <c r="O243">
        <f t="shared" si="15"/>
        <v>2.3340000000000001</v>
      </c>
      <c r="P243">
        <f t="shared" si="16"/>
        <v>673</v>
      </c>
      <c r="Q243">
        <f t="shared" ca="1" si="17"/>
        <v>516</v>
      </c>
      <c r="R243" t="str">
        <f t="shared" si="18"/>
        <v>Normal</v>
      </c>
      <c r="S243">
        <f t="shared" si="19"/>
        <v>69147.310942517157</v>
      </c>
    </row>
    <row r="244" spans="1:19" x14ac:dyDescent="0.35">
      <c r="A244" t="s">
        <v>255</v>
      </c>
      <c r="B244" t="s">
        <v>755</v>
      </c>
      <c r="C244" t="s">
        <v>1014</v>
      </c>
      <c r="D244" t="s">
        <v>1019</v>
      </c>
      <c r="E244" s="6">
        <v>67310</v>
      </c>
      <c r="F244" s="6">
        <v>9955.4839780990769</v>
      </c>
      <c r="G244" t="s">
        <v>1022</v>
      </c>
      <c r="H244" s="3">
        <v>45584</v>
      </c>
      <c r="I244" s="3">
        <v>45181</v>
      </c>
      <c r="J244" s="3">
        <v>45428</v>
      </c>
      <c r="K244" t="s">
        <v>1025</v>
      </c>
      <c r="L244">
        <v>56</v>
      </c>
      <c r="M244" s="6">
        <v>2139</v>
      </c>
      <c r="O244">
        <f t="shared" si="15"/>
        <v>0.14799999999999999</v>
      </c>
      <c r="P244">
        <f t="shared" si="16"/>
        <v>247</v>
      </c>
      <c r="Q244">
        <f t="shared" ca="1" si="17"/>
        <v>379</v>
      </c>
      <c r="R244" t="str">
        <f t="shared" si="18"/>
        <v>High</v>
      </c>
      <c r="S244">
        <f t="shared" si="19"/>
        <v>9955.4839780990769</v>
      </c>
    </row>
    <row r="245" spans="1:19" x14ac:dyDescent="0.35">
      <c r="A245" t="s">
        <v>256</v>
      </c>
      <c r="B245" t="s">
        <v>756</v>
      </c>
      <c r="C245" t="s">
        <v>1015</v>
      </c>
      <c r="D245" t="s">
        <v>1020</v>
      </c>
      <c r="E245" s="6">
        <v>57176</v>
      </c>
      <c r="F245" s="6">
        <v>0</v>
      </c>
      <c r="G245" t="s">
        <v>1023</v>
      </c>
      <c r="H245" s="3">
        <v>45295</v>
      </c>
      <c r="I245" s="3">
        <v>45022</v>
      </c>
      <c r="J245" s="3">
        <v>45507</v>
      </c>
      <c r="K245" t="s">
        <v>1025</v>
      </c>
      <c r="L245">
        <v>25</v>
      </c>
      <c r="M245" s="6">
        <v>3424</v>
      </c>
      <c r="O245">
        <f t="shared" si="15"/>
        <v>0</v>
      </c>
      <c r="P245">
        <f t="shared" si="16"/>
        <v>485</v>
      </c>
      <c r="Q245">
        <f t="shared" ca="1" si="17"/>
        <v>668</v>
      </c>
      <c r="R245" t="str">
        <f t="shared" si="18"/>
        <v>High</v>
      </c>
      <c r="S245">
        <f t="shared" si="19"/>
        <v>0</v>
      </c>
    </row>
    <row r="246" spans="1:19" x14ac:dyDescent="0.35">
      <c r="A246" t="s">
        <v>257</v>
      </c>
      <c r="B246" t="s">
        <v>757</v>
      </c>
      <c r="C246" t="s">
        <v>1013</v>
      </c>
      <c r="D246" t="s">
        <v>1020</v>
      </c>
      <c r="E246" s="6">
        <v>88066</v>
      </c>
      <c r="F246" s="6">
        <v>42653.869373243993</v>
      </c>
      <c r="G246" t="s">
        <v>1023</v>
      </c>
      <c r="H246" s="3">
        <v>45561</v>
      </c>
      <c r="I246" s="3">
        <v>45164</v>
      </c>
      <c r="J246" s="3">
        <v>45436</v>
      </c>
      <c r="K246" t="s">
        <v>1026</v>
      </c>
      <c r="L246">
        <v>26</v>
      </c>
      <c r="M246" s="6">
        <v>4949</v>
      </c>
      <c r="O246">
        <f t="shared" si="15"/>
        <v>0.48399999999999999</v>
      </c>
      <c r="P246">
        <f t="shared" si="16"/>
        <v>272</v>
      </c>
      <c r="Q246">
        <f t="shared" ca="1" si="17"/>
        <v>402</v>
      </c>
      <c r="R246" t="str">
        <f t="shared" si="18"/>
        <v>High</v>
      </c>
      <c r="S246">
        <f t="shared" si="19"/>
        <v>42653.869373243993</v>
      </c>
    </row>
    <row r="247" spans="1:19" x14ac:dyDescent="0.35">
      <c r="A247" t="s">
        <v>258</v>
      </c>
      <c r="B247" t="s">
        <v>758</v>
      </c>
      <c r="C247" t="s">
        <v>1016</v>
      </c>
      <c r="D247" t="s">
        <v>1017</v>
      </c>
      <c r="E247" s="6">
        <v>46327</v>
      </c>
      <c r="F247" s="6">
        <v>63639.641333195214</v>
      </c>
      <c r="G247" t="s">
        <v>1023</v>
      </c>
      <c r="H247" s="3">
        <v>45303</v>
      </c>
      <c r="I247" s="3">
        <v>45058</v>
      </c>
      <c r="J247" s="3">
        <v>45363</v>
      </c>
      <c r="K247" t="s">
        <v>1026</v>
      </c>
      <c r="L247">
        <v>51</v>
      </c>
      <c r="M247" s="6">
        <v>5168</v>
      </c>
      <c r="O247">
        <f t="shared" si="15"/>
        <v>1.3740000000000001</v>
      </c>
      <c r="P247">
        <f t="shared" si="16"/>
        <v>305</v>
      </c>
      <c r="Q247">
        <f t="shared" ca="1" si="17"/>
        <v>660</v>
      </c>
      <c r="R247" t="str">
        <f t="shared" si="18"/>
        <v>Normal</v>
      </c>
      <c r="S247">
        <f t="shared" si="19"/>
        <v>63639.641333195214</v>
      </c>
    </row>
    <row r="248" spans="1:19" x14ac:dyDescent="0.35">
      <c r="A248" t="s">
        <v>259</v>
      </c>
      <c r="B248" t="s">
        <v>759</v>
      </c>
      <c r="C248" t="s">
        <v>1015</v>
      </c>
      <c r="D248" t="s">
        <v>1017</v>
      </c>
      <c r="E248" s="6">
        <v>70904</v>
      </c>
      <c r="F248" s="6">
        <v>82123.376765415887</v>
      </c>
      <c r="G248" t="s">
        <v>1023</v>
      </c>
      <c r="H248" s="3">
        <v>45547</v>
      </c>
      <c r="I248" s="3">
        <v>45111</v>
      </c>
      <c r="J248" s="3">
        <v>45443</v>
      </c>
      <c r="K248" t="s">
        <v>1025</v>
      </c>
      <c r="L248">
        <v>51</v>
      </c>
      <c r="M248" s="6">
        <v>10708</v>
      </c>
      <c r="O248">
        <f t="shared" si="15"/>
        <v>1.1579999999999999</v>
      </c>
      <c r="P248">
        <f t="shared" si="16"/>
        <v>332</v>
      </c>
      <c r="Q248">
        <f t="shared" ca="1" si="17"/>
        <v>416</v>
      </c>
      <c r="R248" t="str">
        <f t="shared" si="18"/>
        <v>High</v>
      </c>
      <c r="S248">
        <f t="shared" si="19"/>
        <v>82123.376765415887</v>
      </c>
    </row>
    <row r="249" spans="1:19" x14ac:dyDescent="0.35">
      <c r="A249" t="s">
        <v>260</v>
      </c>
      <c r="B249" t="s">
        <v>760</v>
      </c>
      <c r="C249" t="s">
        <v>1015</v>
      </c>
      <c r="D249" t="s">
        <v>1017</v>
      </c>
      <c r="E249" s="6">
        <v>5797</v>
      </c>
      <c r="F249" s="6">
        <v>32914.682970554917</v>
      </c>
      <c r="G249" t="s">
        <v>1023</v>
      </c>
      <c r="H249" s="3">
        <v>45504</v>
      </c>
      <c r="I249" s="3">
        <v>45261</v>
      </c>
      <c r="J249" s="3">
        <v>45334</v>
      </c>
      <c r="K249" t="s">
        <v>1025</v>
      </c>
      <c r="L249">
        <v>44</v>
      </c>
      <c r="M249" s="6">
        <v>12808</v>
      </c>
      <c r="O249">
        <f t="shared" si="15"/>
        <v>5.6779999999999999</v>
      </c>
      <c r="P249">
        <f t="shared" si="16"/>
        <v>73</v>
      </c>
      <c r="Q249">
        <f t="shared" ca="1" si="17"/>
        <v>459</v>
      </c>
      <c r="R249" t="str">
        <f t="shared" si="18"/>
        <v>Normal</v>
      </c>
      <c r="S249">
        <f t="shared" si="19"/>
        <v>32914.682970554917</v>
      </c>
    </row>
    <row r="250" spans="1:19" x14ac:dyDescent="0.35">
      <c r="A250" t="s">
        <v>261</v>
      </c>
      <c r="B250" t="s">
        <v>761</v>
      </c>
      <c r="C250" t="s">
        <v>1015</v>
      </c>
      <c r="D250" t="s">
        <v>1019</v>
      </c>
      <c r="E250" s="6">
        <v>49882</v>
      </c>
      <c r="F250" s="6">
        <v>9881.0329075439513</v>
      </c>
      <c r="G250" t="s">
        <v>1024</v>
      </c>
      <c r="H250" s="3">
        <v>45511</v>
      </c>
      <c r="I250" s="3">
        <v>44992</v>
      </c>
      <c r="J250" s="3">
        <v>45536</v>
      </c>
      <c r="K250" t="s">
        <v>1025</v>
      </c>
      <c r="L250">
        <v>52</v>
      </c>
      <c r="M250" s="6">
        <v>8043</v>
      </c>
      <c r="O250">
        <f t="shared" si="15"/>
        <v>0.19800000000000001</v>
      </c>
      <c r="P250">
        <f t="shared" si="16"/>
        <v>544</v>
      </c>
      <c r="Q250">
        <f t="shared" ca="1" si="17"/>
        <v>452</v>
      </c>
      <c r="R250" t="str">
        <f t="shared" si="18"/>
        <v>Normal</v>
      </c>
      <c r="S250">
        <f t="shared" si="19"/>
        <v>0</v>
      </c>
    </row>
    <row r="251" spans="1:19" x14ac:dyDescent="0.35">
      <c r="A251" t="s">
        <v>262</v>
      </c>
      <c r="B251" t="s">
        <v>762</v>
      </c>
      <c r="C251" t="s">
        <v>1013</v>
      </c>
      <c r="D251" t="s">
        <v>1017</v>
      </c>
      <c r="E251" s="6">
        <v>15718</v>
      </c>
      <c r="F251" s="6">
        <v>3314.507719365125</v>
      </c>
      <c r="G251" t="s">
        <v>1022</v>
      </c>
      <c r="H251" s="3">
        <v>45574</v>
      </c>
      <c r="I251" s="3">
        <v>45105</v>
      </c>
      <c r="J251" s="3">
        <v>45335</v>
      </c>
      <c r="K251" t="s">
        <v>1026</v>
      </c>
      <c r="L251">
        <v>26</v>
      </c>
      <c r="M251" s="6">
        <v>8989</v>
      </c>
      <c r="O251">
        <f t="shared" si="15"/>
        <v>0.21099999999999999</v>
      </c>
      <c r="P251">
        <f t="shared" si="16"/>
        <v>230</v>
      </c>
      <c r="Q251">
        <f t="shared" ca="1" si="17"/>
        <v>389</v>
      </c>
      <c r="R251" t="str">
        <f t="shared" si="18"/>
        <v>Normal</v>
      </c>
      <c r="S251">
        <f t="shared" si="19"/>
        <v>3314.507719365125</v>
      </c>
    </row>
    <row r="252" spans="1:19" x14ac:dyDescent="0.35">
      <c r="A252" t="s">
        <v>263</v>
      </c>
      <c r="B252" t="s">
        <v>763</v>
      </c>
      <c r="C252" t="s">
        <v>1016</v>
      </c>
      <c r="D252" t="s">
        <v>1018</v>
      </c>
      <c r="E252" s="6">
        <v>36560</v>
      </c>
      <c r="F252" s="6">
        <v>81942.97205572181</v>
      </c>
      <c r="G252" t="s">
        <v>1023</v>
      </c>
      <c r="H252" s="3">
        <v>45452</v>
      </c>
      <c r="I252" s="3">
        <v>45115</v>
      </c>
      <c r="J252" s="3">
        <v>45655</v>
      </c>
      <c r="K252" t="s">
        <v>1026</v>
      </c>
      <c r="L252">
        <v>31</v>
      </c>
      <c r="M252" s="6">
        <v>9236</v>
      </c>
      <c r="O252">
        <f t="shared" si="15"/>
        <v>2.2410000000000001</v>
      </c>
      <c r="P252">
        <f t="shared" si="16"/>
        <v>540</v>
      </c>
      <c r="Q252">
        <f t="shared" ca="1" si="17"/>
        <v>511</v>
      </c>
      <c r="R252" t="str">
        <f t="shared" si="18"/>
        <v>Normal</v>
      </c>
      <c r="S252">
        <f t="shared" si="19"/>
        <v>81942.97205572181</v>
      </c>
    </row>
    <row r="253" spans="1:19" x14ac:dyDescent="0.35">
      <c r="A253" t="s">
        <v>264</v>
      </c>
      <c r="B253" t="s">
        <v>764</v>
      </c>
      <c r="C253" t="s">
        <v>1015</v>
      </c>
      <c r="D253" t="s">
        <v>1021</v>
      </c>
      <c r="E253" s="6">
        <v>78589</v>
      </c>
      <c r="F253" s="6">
        <v>16037.632972293761</v>
      </c>
      <c r="G253" t="s">
        <v>1023</v>
      </c>
      <c r="H253" s="3">
        <v>45355</v>
      </c>
      <c r="I253" s="3">
        <v>45166</v>
      </c>
      <c r="J253" s="3">
        <v>45533</v>
      </c>
      <c r="K253" t="s">
        <v>1026</v>
      </c>
      <c r="L253">
        <v>35</v>
      </c>
      <c r="M253" s="6">
        <v>8261</v>
      </c>
      <c r="O253">
        <f t="shared" si="15"/>
        <v>0.20399999999999999</v>
      </c>
      <c r="P253">
        <f t="shared" si="16"/>
        <v>367</v>
      </c>
      <c r="Q253">
        <f t="shared" ca="1" si="17"/>
        <v>608</v>
      </c>
      <c r="R253" t="str">
        <f t="shared" si="18"/>
        <v>High</v>
      </c>
      <c r="S253">
        <f t="shared" si="19"/>
        <v>16037.632972293761</v>
      </c>
    </row>
    <row r="254" spans="1:19" x14ac:dyDescent="0.35">
      <c r="A254" t="s">
        <v>265</v>
      </c>
      <c r="B254" t="s">
        <v>765</v>
      </c>
      <c r="C254" t="s">
        <v>1014</v>
      </c>
      <c r="D254" t="s">
        <v>1018</v>
      </c>
      <c r="E254" s="6">
        <v>24116</v>
      </c>
      <c r="F254" s="6">
        <v>2367.47140294168</v>
      </c>
      <c r="G254" t="s">
        <v>1023</v>
      </c>
      <c r="H254" s="3">
        <v>45540</v>
      </c>
      <c r="I254" s="3">
        <v>44953</v>
      </c>
      <c r="J254" s="3">
        <v>45325</v>
      </c>
      <c r="K254" t="s">
        <v>1026</v>
      </c>
      <c r="L254">
        <v>35</v>
      </c>
      <c r="M254" s="6">
        <v>2887</v>
      </c>
      <c r="O254">
        <f t="shared" si="15"/>
        <v>9.8000000000000004E-2</v>
      </c>
      <c r="P254">
        <f t="shared" si="16"/>
        <v>372</v>
      </c>
      <c r="Q254">
        <f t="shared" ca="1" si="17"/>
        <v>423</v>
      </c>
      <c r="R254" t="str">
        <f t="shared" si="18"/>
        <v>Normal</v>
      </c>
      <c r="S254">
        <f t="shared" si="19"/>
        <v>2367.47140294168</v>
      </c>
    </row>
    <row r="255" spans="1:19" x14ac:dyDescent="0.35">
      <c r="A255" t="s">
        <v>266</v>
      </c>
      <c r="B255" t="s">
        <v>766</v>
      </c>
      <c r="C255" t="s">
        <v>1015</v>
      </c>
      <c r="D255" t="s">
        <v>1018</v>
      </c>
      <c r="E255" s="6">
        <v>38244</v>
      </c>
      <c r="F255" s="6">
        <v>11006.6705649385</v>
      </c>
      <c r="G255" t="s">
        <v>1023</v>
      </c>
      <c r="H255" s="3">
        <v>45508</v>
      </c>
      <c r="I255" s="3">
        <v>44959</v>
      </c>
      <c r="J255" s="3">
        <v>45585</v>
      </c>
      <c r="K255" t="s">
        <v>1025</v>
      </c>
      <c r="L255">
        <v>62</v>
      </c>
      <c r="M255" s="6">
        <v>5104</v>
      </c>
      <c r="O255">
        <f t="shared" si="15"/>
        <v>0.28799999999999998</v>
      </c>
      <c r="P255">
        <f t="shared" si="16"/>
        <v>626</v>
      </c>
      <c r="Q255">
        <f t="shared" ca="1" si="17"/>
        <v>455</v>
      </c>
      <c r="R255" t="str">
        <f t="shared" si="18"/>
        <v>Normal</v>
      </c>
      <c r="S255">
        <f t="shared" si="19"/>
        <v>11006.6705649385</v>
      </c>
    </row>
    <row r="256" spans="1:19" x14ac:dyDescent="0.35">
      <c r="A256" t="s">
        <v>267</v>
      </c>
      <c r="B256" t="s">
        <v>767</v>
      </c>
      <c r="C256" t="s">
        <v>1015</v>
      </c>
      <c r="D256" t="s">
        <v>1017</v>
      </c>
      <c r="E256" s="6">
        <v>3645</v>
      </c>
      <c r="F256" s="6">
        <v>26004.60746653087</v>
      </c>
      <c r="G256" t="s">
        <v>1023</v>
      </c>
      <c r="H256" s="3">
        <v>45442</v>
      </c>
      <c r="I256" s="3">
        <v>45132</v>
      </c>
      <c r="J256" s="3">
        <v>45609</v>
      </c>
      <c r="K256" t="s">
        <v>1025</v>
      </c>
      <c r="L256">
        <v>55</v>
      </c>
      <c r="M256" s="6">
        <v>2049</v>
      </c>
      <c r="O256">
        <f t="shared" si="15"/>
        <v>7.1340000000000003</v>
      </c>
      <c r="P256">
        <f t="shared" si="16"/>
        <v>477</v>
      </c>
      <c r="Q256">
        <f t="shared" ca="1" si="17"/>
        <v>521</v>
      </c>
      <c r="R256" t="str">
        <f t="shared" si="18"/>
        <v>Normal</v>
      </c>
      <c r="S256">
        <f t="shared" si="19"/>
        <v>26004.60746653087</v>
      </c>
    </row>
    <row r="257" spans="1:19" x14ac:dyDescent="0.35">
      <c r="A257" t="s">
        <v>268</v>
      </c>
      <c r="B257" t="s">
        <v>768</v>
      </c>
      <c r="C257" t="s">
        <v>1013</v>
      </c>
      <c r="D257" t="s">
        <v>1021</v>
      </c>
      <c r="E257" s="6">
        <v>49523</v>
      </c>
      <c r="F257" s="6">
        <v>57192.079843978878</v>
      </c>
      <c r="G257" t="s">
        <v>1023</v>
      </c>
      <c r="H257" s="3">
        <v>45425</v>
      </c>
      <c r="I257" s="3">
        <v>45074</v>
      </c>
      <c r="J257" s="3">
        <v>45535</v>
      </c>
      <c r="K257" t="s">
        <v>1025</v>
      </c>
      <c r="L257">
        <v>32</v>
      </c>
      <c r="M257" s="6">
        <v>5951</v>
      </c>
      <c r="O257">
        <f t="shared" si="15"/>
        <v>1.155</v>
      </c>
      <c r="P257">
        <f t="shared" si="16"/>
        <v>461</v>
      </c>
      <c r="Q257">
        <f t="shared" ca="1" si="17"/>
        <v>538</v>
      </c>
      <c r="R257" t="str">
        <f t="shared" si="18"/>
        <v>Normal</v>
      </c>
      <c r="S257">
        <f t="shared" si="19"/>
        <v>57192.079843978878</v>
      </c>
    </row>
    <row r="258" spans="1:19" x14ac:dyDescent="0.35">
      <c r="A258" t="s">
        <v>269</v>
      </c>
      <c r="B258" t="s">
        <v>769</v>
      </c>
      <c r="C258" t="s">
        <v>1013</v>
      </c>
      <c r="D258" t="s">
        <v>1021</v>
      </c>
      <c r="E258" s="6">
        <v>21256</v>
      </c>
      <c r="F258" s="6">
        <v>64994.142327180241</v>
      </c>
      <c r="G258" t="s">
        <v>1023</v>
      </c>
      <c r="H258" s="3">
        <v>45376</v>
      </c>
      <c r="I258" s="3">
        <v>44970</v>
      </c>
      <c r="J258" s="3">
        <v>45598</v>
      </c>
      <c r="K258" t="s">
        <v>1025</v>
      </c>
      <c r="L258">
        <v>26</v>
      </c>
      <c r="M258" s="6">
        <v>5560</v>
      </c>
      <c r="O258">
        <f t="shared" si="15"/>
        <v>3.0579999999999998</v>
      </c>
      <c r="P258">
        <f t="shared" si="16"/>
        <v>628</v>
      </c>
      <c r="Q258">
        <f t="shared" ca="1" si="17"/>
        <v>587</v>
      </c>
      <c r="R258" t="str">
        <f t="shared" si="18"/>
        <v>Normal</v>
      </c>
      <c r="S258">
        <f t="shared" si="19"/>
        <v>64994.142327180241</v>
      </c>
    </row>
    <row r="259" spans="1:19" x14ac:dyDescent="0.35">
      <c r="A259" t="s">
        <v>270</v>
      </c>
      <c r="B259" t="s">
        <v>770</v>
      </c>
      <c r="C259" t="s">
        <v>1016</v>
      </c>
      <c r="D259" t="s">
        <v>1021</v>
      </c>
      <c r="E259" s="6">
        <v>55173</v>
      </c>
      <c r="F259" s="6">
        <v>82361.606078674144</v>
      </c>
      <c r="G259" t="s">
        <v>1022</v>
      </c>
      <c r="H259" s="3">
        <v>45498</v>
      </c>
      <c r="I259" s="3">
        <v>45080</v>
      </c>
      <c r="J259" s="3">
        <v>45443</v>
      </c>
      <c r="K259" t="s">
        <v>1025</v>
      </c>
      <c r="L259">
        <v>55</v>
      </c>
      <c r="M259" s="6">
        <v>2018</v>
      </c>
      <c r="O259">
        <f t="shared" ref="O259:O322" si="20">IF(E259=0, 0, ROUND(F259 / E259, 3))</f>
        <v>1.4930000000000001</v>
      </c>
      <c r="P259">
        <f t="shared" ref="P259:P322" si="21">IF(AND(ISNUMBER(I259), ISNUMBER(J259)), DATEDIF(I259, J259, "D"), "")</f>
        <v>363</v>
      </c>
      <c r="Q259">
        <f t="shared" ref="Q259:Q322" ca="1" si="22">IF(ISNUMBER(H259), TODAY() - H259, "")</f>
        <v>465</v>
      </c>
      <c r="R259" t="str">
        <f t="shared" ref="R259:R322" si="23">IF(E259&gt;50000, "High","Normal")</f>
        <v>High</v>
      </c>
      <c r="S259">
        <f t="shared" ref="S259:S322" si="24">IF(G259="Rejected", 0, F259)</f>
        <v>82361.606078674144</v>
      </c>
    </row>
    <row r="260" spans="1:19" x14ac:dyDescent="0.35">
      <c r="A260" t="s">
        <v>271</v>
      </c>
      <c r="B260" t="s">
        <v>771</v>
      </c>
      <c r="C260" t="s">
        <v>1014</v>
      </c>
      <c r="D260" t="s">
        <v>1019</v>
      </c>
      <c r="E260" s="6">
        <v>39430</v>
      </c>
      <c r="F260" s="6">
        <v>5240.9683119941656</v>
      </c>
      <c r="G260" t="s">
        <v>1023</v>
      </c>
      <c r="H260" s="3">
        <v>45371</v>
      </c>
      <c r="I260" s="3">
        <v>45130</v>
      </c>
      <c r="J260" s="3">
        <v>45349</v>
      </c>
      <c r="K260" t="s">
        <v>1025</v>
      </c>
      <c r="L260">
        <v>66</v>
      </c>
      <c r="M260" s="6">
        <v>6821</v>
      </c>
      <c r="O260">
        <f t="shared" si="20"/>
        <v>0.13300000000000001</v>
      </c>
      <c r="P260">
        <f t="shared" si="21"/>
        <v>219</v>
      </c>
      <c r="Q260">
        <f t="shared" ca="1" si="22"/>
        <v>592</v>
      </c>
      <c r="R260" t="str">
        <f t="shared" si="23"/>
        <v>Normal</v>
      </c>
      <c r="S260">
        <f t="shared" si="24"/>
        <v>5240.9683119941656</v>
      </c>
    </row>
    <row r="261" spans="1:19" x14ac:dyDescent="0.35">
      <c r="A261" t="s">
        <v>272</v>
      </c>
      <c r="B261" t="s">
        <v>772</v>
      </c>
      <c r="C261" t="s">
        <v>1013</v>
      </c>
      <c r="D261" t="s">
        <v>1017</v>
      </c>
      <c r="E261" s="6">
        <v>41282</v>
      </c>
      <c r="F261" s="6">
        <v>18841.881659768242</v>
      </c>
      <c r="G261" t="s">
        <v>1023</v>
      </c>
      <c r="H261" s="3">
        <v>45439</v>
      </c>
      <c r="I261" s="3">
        <v>44964</v>
      </c>
      <c r="J261" s="3">
        <v>45637</v>
      </c>
      <c r="K261" t="s">
        <v>1026</v>
      </c>
      <c r="L261">
        <v>28</v>
      </c>
      <c r="M261" s="6">
        <v>8340</v>
      </c>
      <c r="O261">
        <f t="shared" si="20"/>
        <v>0.45600000000000002</v>
      </c>
      <c r="P261">
        <f t="shared" si="21"/>
        <v>673</v>
      </c>
      <c r="Q261">
        <f t="shared" ca="1" si="22"/>
        <v>524</v>
      </c>
      <c r="R261" t="str">
        <f t="shared" si="23"/>
        <v>Normal</v>
      </c>
      <c r="S261">
        <f t="shared" si="24"/>
        <v>18841.881659768242</v>
      </c>
    </row>
    <row r="262" spans="1:19" x14ac:dyDescent="0.35">
      <c r="A262" t="s">
        <v>273</v>
      </c>
      <c r="B262" t="s">
        <v>773</v>
      </c>
      <c r="C262" t="s">
        <v>1015</v>
      </c>
      <c r="D262" t="s">
        <v>1021</v>
      </c>
      <c r="E262" s="6">
        <v>65374</v>
      </c>
      <c r="F262" s="6">
        <v>48114.674036673947</v>
      </c>
      <c r="G262" t="s">
        <v>1022</v>
      </c>
      <c r="H262" s="3">
        <v>45512</v>
      </c>
      <c r="I262" s="3">
        <v>45207</v>
      </c>
      <c r="J262" s="3">
        <v>45542</v>
      </c>
      <c r="K262" t="s">
        <v>1026</v>
      </c>
      <c r="L262">
        <v>51</v>
      </c>
      <c r="M262" s="6">
        <v>10058</v>
      </c>
      <c r="O262">
        <f t="shared" si="20"/>
        <v>0.73599999999999999</v>
      </c>
      <c r="P262">
        <f t="shared" si="21"/>
        <v>335</v>
      </c>
      <c r="Q262">
        <f t="shared" ca="1" si="22"/>
        <v>451</v>
      </c>
      <c r="R262" t="str">
        <f t="shared" si="23"/>
        <v>High</v>
      </c>
      <c r="S262">
        <f t="shared" si="24"/>
        <v>48114.674036673947</v>
      </c>
    </row>
    <row r="263" spans="1:19" x14ac:dyDescent="0.35">
      <c r="A263" t="s">
        <v>274</v>
      </c>
      <c r="B263" t="s">
        <v>774</v>
      </c>
      <c r="C263" t="s">
        <v>1016</v>
      </c>
      <c r="D263" t="s">
        <v>1019</v>
      </c>
      <c r="E263" s="6">
        <v>70244</v>
      </c>
      <c r="F263" s="6">
        <v>98623.096601434227</v>
      </c>
      <c r="G263" t="s">
        <v>1023</v>
      </c>
      <c r="H263" s="3">
        <v>45368</v>
      </c>
      <c r="I263" s="3">
        <v>45275</v>
      </c>
      <c r="J263" s="3">
        <v>45532</v>
      </c>
      <c r="K263" t="s">
        <v>1025</v>
      </c>
      <c r="L263">
        <v>30</v>
      </c>
      <c r="M263" s="6">
        <v>11665</v>
      </c>
      <c r="O263">
        <f t="shared" si="20"/>
        <v>1.4039999999999999</v>
      </c>
      <c r="P263">
        <f t="shared" si="21"/>
        <v>257</v>
      </c>
      <c r="Q263">
        <f t="shared" ca="1" si="22"/>
        <v>595</v>
      </c>
      <c r="R263" t="str">
        <f t="shared" si="23"/>
        <v>High</v>
      </c>
      <c r="S263">
        <f t="shared" si="24"/>
        <v>98623.096601434227</v>
      </c>
    </row>
    <row r="264" spans="1:19" x14ac:dyDescent="0.35">
      <c r="A264" t="s">
        <v>275</v>
      </c>
      <c r="B264" t="s">
        <v>775</v>
      </c>
      <c r="C264" t="s">
        <v>1015</v>
      </c>
      <c r="D264" t="s">
        <v>1020</v>
      </c>
      <c r="E264" s="6">
        <v>13694</v>
      </c>
      <c r="F264" s="6">
        <v>0</v>
      </c>
      <c r="G264" t="s">
        <v>1023</v>
      </c>
      <c r="H264" s="3">
        <v>45400</v>
      </c>
      <c r="I264" s="3">
        <v>44959</v>
      </c>
      <c r="J264" s="3">
        <v>45511</v>
      </c>
      <c r="K264" t="s">
        <v>1025</v>
      </c>
      <c r="L264">
        <v>27</v>
      </c>
      <c r="M264" s="6">
        <v>14253</v>
      </c>
      <c r="O264">
        <f t="shared" si="20"/>
        <v>0</v>
      </c>
      <c r="P264">
        <f t="shared" si="21"/>
        <v>552</v>
      </c>
      <c r="Q264">
        <f t="shared" ca="1" si="22"/>
        <v>563</v>
      </c>
      <c r="R264" t="str">
        <f t="shared" si="23"/>
        <v>Normal</v>
      </c>
      <c r="S264">
        <f t="shared" si="24"/>
        <v>0</v>
      </c>
    </row>
    <row r="265" spans="1:19" x14ac:dyDescent="0.35">
      <c r="A265" t="s">
        <v>276</v>
      </c>
      <c r="B265" t="s">
        <v>776</v>
      </c>
      <c r="C265" t="s">
        <v>1015</v>
      </c>
      <c r="D265" t="s">
        <v>1020</v>
      </c>
      <c r="E265" s="6">
        <v>58264</v>
      </c>
      <c r="F265" s="6">
        <v>64388.833050520247</v>
      </c>
      <c r="G265" t="s">
        <v>1023</v>
      </c>
      <c r="H265" s="3">
        <v>45395</v>
      </c>
      <c r="I265" s="3">
        <v>45288</v>
      </c>
      <c r="J265" s="3">
        <v>45303</v>
      </c>
      <c r="K265" t="s">
        <v>1026</v>
      </c>
      <c r="L265">
        <v>52</v>
      </c>
      <c r="M265" s="6">
        <v>4606</v>
      </c>
      <c r="O265">
        <f t="shared" si="20"/>
        <v>1.105</v>
      </c>
      <c r="P265">
        <f t="shared" si="21"/>
        <v>15</v>
      </c>
      <c r="Q265">
        <f t="shared" ca="1" si="22"/>
        <v>568</v>
      </c>
      <c r="R265" t="str">
        <f t="shared" si="23"/>
        <v>High</v>
      </c>
      <c r="S265">
        <f t="shared" si="24"/>
        <v>64388.833050520247</v>
      </c>
    </row>
    <row r="266" spans="1:19" x14ac:dyDescent="0.35">
      <c r="A266" t="s">
        <v>277</v>
      </c>
      <c r="B266" t="s">
        <v>777</v>
      </c>
      <c r="C266" t="s">
        <v>1013</v>
      </c>
      <c r="D266" t="s">
        <v>1019</v>
      </c>
      <c r="E266" s="6">
        <v>77060</v>
      </c>
      <c r="F266" s="6">
        <v>29505.965782073821</v>
      </c>
      <c r="G266" t="s">
        <v>1023</v>
      </c>
      <c r="H266" s="3">
        <v>45454</v>
      </c>
      <c r="I266" s="3">
        <v>44948</v>
      </c>
      <c r="J266" s="3">
        <v>45565</v>
      </c>
      <c r="K266" t="s">
        <v>1026</v>
      </c>
      <c r="L266">
        <v>42</v>
      </c>
      <c r="M266" s="6">
        <v>9846</v>
      </c>
      <c r="O266">
        <f t="shared" si="20"/>
        <v>0.38300000000000001</v>
      </c>
      <c r="P266">
        <f t="shared" si="21"/>
        <v>617</v>
      </c>
      <c r="Q266">
        <f t="shared" ca="1" si="22"/>
        <v>509</v>
      </c>
      <c r="R266" t="str">
        <f t="shared" si="23"/>
        <v>High</v>
      </c>
      <c r="S266">
        <f t="shared" si="24"/>
        <v>29505.965782073821</v>
      </c>
    </row>
    <row r="267" spans="1:19" x14ac:dyDescent="0.35">
      <c r="A267" t="s">
        <v>278</v>
      </c>
      <c r="B267" t="s">
        <v>778</v>
      </c>
      <c r="C267" t="s">
        <v>1016</v>
      </c>
      <c r="D267" t="s">
        <v>1019</v>
      </c>
      <c r="E267" s="6">
        <v>99416</v>
      </c>
      <c r="F267" s="6">
        <v>39302.789037381379</v>
      </c>
      <c r="G267" t="s">
        <v>1022</v>
      </c>
      <c r="H267" s="3">
        <v>45397</v>
      </c>
      <c r="I267" s="3">
        <v>45159</v>
      </c>
      <c r="J267" s="3">
        <v>45573</v>
      </c>
      <c r="K267" t="s">
        <v>1026</v>
      </c>
      <c r="L267">
        <v>44</v>
      </c>
      <c r="M267" s="6">
        <v>10643</v>
      </c>
      <c r="O267">
        <f t="shared" si="20"/>
        <v>0.39500000000000002</v>
      </c>
      <c r="P267">
        <f t="shared" si="21"/>
        <v>414</v>
      </c>
      <c r="Q267">
        <f t="shared" ca="1" si="22"/>
        <v>566</v>
      </c>
      <c r="R267" t="str">
        <f t="shared" si="23"/>
        <v>High</v>
      </c>
      <c r="S267">
        <f t="shared" si="24"/>
        <v>39302.789037381379</v>
      </c>
    </row>
    <row r="268" spans="1:19" x14ac:dyDescent="0.35">
      <c r="A268" t="s">
        <v>279</v>
      </c>
      <c r="B268" t="s">
        <v>779</v>
      </c>
      <c r="C268" t="s">
        <v>1014</v>
      </c>
      <c r="D268" t="s">
        <v>1017</v>
      </c>
      <c r="E268" s="6">
        <v>59545</v>
      </c>
      <c r="F268" s="6">
        <v>50002.730781948521</v>
      </c>
      <c r="G268" t="s">
        <v>1023</v>
      </c>
      <c r="H268" s="3">
        <v>45316</v>
      </c>
      <c r="I268" s="3">
        <v>45210</v>
      </c>
      <c r="J268" s="3">
        <v>45322</v>
      </c>
      <c r="K268" t="s">
        <v>1026</v>
      </c>
      <c r="L268">
        <v>27</v>
      </c>
      <c r="M268" s="6">
        <v>8432</v>
      </c>
      <c r="O268">
        <f t="shared" si="20"/>
        <v>0.84</v>
      </c>
      <c r="P268">
        <f t="shared" si="21"/>
        <v>112</v>
      </c>
      <c r="Q268">
        <f t="shared" ca="1" si="22"/>
        <v>647</v>
      </c>
      <c r="R268" t="str">
        <f t="shared" si="23"/>
        <v>High</v>
      </c>
      <c r="S268">
        <f t="shared" si="24"/>
        <v>50002.730781948521</v>
      </c>
    </row>
    <row r="269" spans="1:19" x14ac:dyDescent="0.35">
      <c r="A269" t="s">
        <v>280</v>
      </c>
      <c r="B269" t="s">
        <v>780</v>
      </c>
      <c r="C269" t="s">
        <v>1014</v>
      </c>
      <c r="D269" t="s">
        <v>1017</v>
      </c>
      <c r="E269" s="6">
        <v>41224</v>
      </c>
      <c r="F269" s="6">
        <v>14722.43247762761</v>
      </c>
      <c r="G269" t="s">
        <v>1023</v>
      </c>
      <c r="H269" s="3">
        <v>45303</v>
      </c>
      <c r="I269" s="3">
        <v>45054</v>
      </c>
      <c r="J269" s="3">
        <v>45589</v>
      </c>
      <c r="K269" t="s">
        <v>1025</v>
      </c>
      <c r="L269">
        <v>64</v>
      </c>
      <c r="M269" s="6">
        <v>5765</v>
      </c>
      <c r="O269">
        <f t="shared" si="20"/>
        <v>0.35699999999999998</v>
      </c>
      <c r="P269">
        <f t="shared" si="21"/>
        <v>535</v>
      </c>
      <c r="Q269">
        <f t="shared" ca="1" si="22"/>
        <v>660</v>
      </c>
      <c r="R269" t="str">
        <f t="shared" si="23"/>
        <v>Normal</v>
      </c>
      <c r="S269">
        <f t="shared" si="24"/>
        <v>14722.43247762761</v>
      </c>
    </row>
    <row r="270" spans="1:19" x14ac:dyDescent="0.35">
      <c r="A270" t="s">
        <v>281</v>
      </c>
      <c r="B270" t="s">
        <v>781</v>
      </c>
      <c r="C270" t="s">
        <v>1013</v>
      </c>
      <c r="D270" t="s">
        <v>1020</v>
      </c>
      <c r="E270" s="6">
        <v>99945</v>
      </c>
      <c r="F270" s="6">
        <v>71924.096196914208</v>
      </c>
      <c r="G270" t="s">
        <v>1022</v>
      </c>
      <c r="H270" s="3">
        <v>45381</v>
      </c>
      <c r="I270" s="3">
        <v>45045</v>
      </c>
      <c r="J270" s="3">
        <v>45376</v>
      </c>
      <c r="K270" t="s">
        <v>1025</v>
      </c>
      <c r="L270">
        <v>41</v>
      </c>
      <c r="M270" s="6">
        <v>4438</v>
      </c>
      <c r="O270">
        <f t="shared" si="20"/>
        <v>0.72</v>
      </c>
      <c r="P270">
        <f t="shared" si="21"/>
        <v>331</v>
      </c>
      <c r="Q270">
        <f t="shared" ca="1" si="22"/>
        <v>582</v>
      </c>
      <c r="R270" t="str">
        <f t="shared" si="23"/>
        <v>High</v>
      </c>
      <c r="S270">
        <f t="shared" si="24"/>
        <v>71924.096196914208</v>
      </c>
    </row>
    <row r="271" spans="1:19" x14ac:dyDescent="0.35">
      <c r="A271" t="s">
        <v>282</v>
      </c>
      <c r="B271" t="s">
        <v>782</v>
      </c>
      <c r="C271" t="s">
        <v>1013</v>
      </c>
      <c r="D271" t="s">
        <v>1021</v>
      </c>
      <c r="E271" s="6">
        <v>15224</v>
      </c>
      <c r="F271" s="6">
        <v>54685.410282740821</v>
      </c>
      <c r="G271" t="s">
        <v>1022</v>
      </c>
      <c r="H271" s="3">
        <v>45460</v>
      </c>
      <c r="I271" s="3">
        <v>45034</v>
      </c>
      <c r="J271" s="3">
        <v>45467</v>
      </c>
      <c r="K271" t="s">
        <v>1025</v>
      </c>
      <c r="L271">
        <v>23</v>
      </c>
      <c r="M271" s="6">
        <v>14502</v>
      </c>
      <c r="O271">
        <f t="shared" si="20"/>
        <v>3.5920000000000001</v>
      </c>
      <c r="P271">
        <f t="shared" si="21"/>
        <v>433</v>
      </c>
      <c r="Q271">
        <f t="shared" ca="1" si="22"/>
        <v>503</v>
      </c>
      <c r="R271" t="str">
        <f t="shared" si="23"/>
        <v>Normal</v>
      </c>
      <c r="S271">
        <f t="shared" si="24"/>
        <v>54685.410282740821</v>
      </c>
    </row>
    <row r="272" spans="1:19" x14ac:dyDescent="0.35">
      <c r="A272" t="s">
        <v>283</v>
      </c>
      <c r="B272" t="s">
        <v>783</v>
      </c>
      <c r="C272" t="s">
        <v>1016</v>
      </c>
      <c r="D272" t="s">
        <v>1020</v>
      </c>
      <c r="E272" s="6">
        <v>42738</v>
      </c>
      <c r="F272" s="6">
        <v>0</v>
      </c>
      <c r="G272" t="s">
        <v>1022</v>
      </c>
      <c r="H272" s="3">
        <v>45495</v>
      </c>
      <c r="I272" s="3">
        <v>45011</v>
      </c>
      <c r="J272" s="3">
        <v>45363</v>
      </c>
      <c r="K272" t="s">
        <v>1025</v>
      </c>
      <c r="L272">
        <v>59</v>
      </c>
      <c r="M272" s="6">
        <v>11741</v>
      </c>
      <c r="O272">
        <f t="shared" si="20"/>
        <v>0</v>
      </c>
      <c r="P272">
        <f t="shared" si="21"/>
        <v>352</v>
      </c>
      <c r="Q272">
        <f t="shared" ca="1" si="22"/>
        <v>468</v>
      </c>
      <c r="R272" t="str">
        <f t="shared" si="23"/>
        <v>Normal</v>
      </c>
      <c r="S272">
        <f t="shared" si="24"/>
        <v>0</v>
      </c>
    </row>
    <row r="273" spans="1:19" x14ac:dyDescent="0.35">
      <c r="A273" t="s">
        <v>284</v>
      </c>
      <c r="B273" t="s">
        <v>784</v>
      </c>
      <c r="C273" t="s">
        <v>1014</v>
      </c>
      <c r="D273" t="s">
        <v>1021</v>
      </c>
      <c r="E273" s="6">
        <v>27150</v>
      </c>
      <c r="F273" s="6">
        <v>0</v>
      </c>
      <c r="G273" t="s">
        <v>1023</v>
      </c>
      <c r="H273" s="3">
        <v>45529</v>
      </c>
      <c r="I273" s="3">
        <v>44950</v>
      </c>
      <c r="J273" s="3">
        <v>45335</v>
      </c>
      <c r="K273" t="s">
        <v>1025</v>
      </c>
      <c r="L273">
        <v>22</v>
      </c>
      <c r="M273" s="6">
        <v>8358</v>
      </c>
      <c r="O273">
        <f t="shared" si="20"/>
        <v>0</v>
      </c>
      <c r="P273">
        <f t="shared" si="21"/>
        <v>385</v>
      </c>
      <c r="Q273">
        <f t="shared" ca="1" si="22"/>
        <v>434</v>
      </c>
      <c r="R273" t="str">
        <f t="shared" si="23"/>
        <v>Normal</v>
      </c>
      <c r="S273">
        <f t="shared" si="24"/>
        <v>0</v>
      </c>
    </row>
    <row r="274" spans="1:19" x14ac:dyDescent="0.35">
      <c r="A274" t="s">
        <v>285</v>
      </c>
      <c r="B274" t="s">
        <v>785</v>
      </c>
      <c r="C274" t="s">
        <v>1014</v>
      </c>
      <c r="D274" t="s">
        <v>1021</v>
      </c>
      <c r="E274" s="6">
        <v>65731</v>
      </c>
      <c r="F274" s="6">
        <v>23331.086964636721</v>
      </c>
      <c r="G274" t="s">
        <v>1023</v>
      </c>
      <c r="H274" s="3">
        <v>45506</v>
      </c>
      <c r="I274" s="3">
        <v>45043</v>
      </c>
      <c r="J274" s="3">
        <v>45536</v>
      </c>
      <c r="K274" t="s">
        <v>1026</v>
      </c>
      <c r="L274">
        <v>48</v>
      </c>
      <c r="M274" s="6">
        <v>13666</v>
      </c>
      <c r="O274">
        <f t="shared" si="20"/>
        <v>0.35499999999999998</v>
      </c>
      <c r="P274">
        <f t="shared" si="21"/>
        <v>493</v>
      </c>
      <c r="Q274">
        <f t="shared" ca="1" si="22"/>
        <v>457</v>
      </c>
      <c r="R274" t="str">
        <f t="shared" si="23"/>
        <v>High</v>
      </c>
      <c r="S274">
        <f t="shared" si="24"/>
        <v>23331.086964636721</v>
      </c>
    </row>
    <row r="275" spans="1:19" x14ac:dyDescent="0.35">
      <c r="A275" t="s">
        <v>286</v>
      </c>
      <c r="B275" t="s">
        <v>786</v>
      </c>
      <c r="C275" t="s">
        <v>1014</v>
      </c>
      <c r="D275" t="s">
        <v>1017</v>
      </c>
      <c r="E275" s="6">
        <v>51688</v>
      </c>
      <c r="F275" s="6">
        <v>35420.567571033564</v>
      </c>
      <c r="G275" t="s">
        <v>1024</v>
      </c>
      <c r="H275" s="3">
        <v>45373</v>
      </c>
      <c r="I275" s="3">
        <v>45205</v>
      </c>
      <c r="J275" s="3">
        <v>45595</v>
      </c>
      <c r="K275" t="s">
        <v>1025</v>
      </c>
      <c r="L275">
        <v>60</v>
      </c>
      <c r="M275" s="6">
        <v>10319</v>
      </c>
      <c r="O275">
        <f t="shared" si="20"/>
        <v>0.68500000000000005</v>
      </c>
      <c r="P275">
        <f t="shared" si="21"/>
        <v>390</v>
      </c>
      <c r="Q275">
        <f t="shared" ca="1" si="22"/>
        <v>590</v>
      </c>
      <c r="R275" t="str">
        <f t="shared" si="23"/>
        <v>High</v>
      </c>
      <c r="S275">
        <f t="shared" si="24"/>
        <v>0</v>
      </c>
    </row>
    <row r="276" spans="1:19" x14ac:dyDescent="0.35">
      <c r="A276" t="s">
        <v>287</v>
      </c>
      <c r="B276" t="s">
        <v>787</v>
      </c>
      <c r="C276" t="s">
        <v>1015</v>
      </c>
      <c r="D276" t="s">
        <v>1018</v>
      </c>
      <c r="E276" s="6">
        <v>75509</v>
      </c>
      <c r="F276" s="6">
        <v>27293.931643951149</v>
      </c>
      <c r="G276" t="s">
        <v>1022</v>
      </c>
      <c r="H276" s="3">
        <v>45371</v>
      </c>
      <c r="I276" s="3">
        <v>44930</v>
      </c>
      <c r="J276" s="3">
        <v>45432</v>
      </c>
      <c r="K276" t="s">
        <v>1026</v>
      </c>
      <c r="L276">
        <v>48</v>
      </c>
      <c r="M276" s="6">
        <v>7941</v>
      </c>
      <c r="O276">
        <f t="shared" si="20"/>
        <v>0.36099999999999999</v>
      </c>
      <c r="P276">
        <f t="shared" si="21"/>
        <v>502</v>
      </c>
      <c r="Q276">
        <f t="shared" ca="1" si="22"/>
        <v>592</v>
      </c>
      <c r="R276" t="str">
        <f t="shared" si="23"/>
        <v>High</v>
      </c>
      <c r="S276">
        <f t="shared" si="24"/>
        <v>27293.931643951149</v>
      </c>
    </row>
    <row r="277" spans="1:19" x14ac:dyDescent="0.35">
      <c r="A277" t="s">
        <v>288</v>
      </c>
      <c r="B277" t="s">
        <v>788</v>
      </c>
      <c r="C277" t="s">
        <v>1014</v>
      </c>
      <c r="D277" t="s">
        <v>1018</v>
      </c>
      <c r="E277" s="6">
        <v>10577</v>
      </c>
      <c r="F277" s="6">
        <v>29678.009683974469</v>
      </c>
      <c r="G277" t="s">
        <v>1023</v>
      </c>
      <c r="H277" s="3">
        <v>45388</v>
      </c>
      <c r="I277" s="3">
        <v>44974</v>
      </c>
      <c r="J277" s="3">
        <v>45456</v>
      </c>
      <c r="K277" t="s">
        <v>1025</v>
      </c>
      <c r="L277">
        <v>53</v>
      </c>
      <c r="M277" s="6">
        <v>9644</v>
      </c>
      <c r="O277">
        <f t="shared" si="20"/>
        <v>2.806</v>
      </c>
      <c r="P277">
        <f t="shared" si="21"/>
        <v>482</v>
      </c>
      <c r="Q277">
        <f t="shared" ca="1" si="22"/>
        <v>575</v>
      </c>
      <c r="R277" t="str">
        <f t="shared" si="23"/>
        <v>Normal</v>
      </c>
      <c r="S277">
        <f t="shared" si="24"/>
        <v>29678.009683974469</v>
      </c>
    </row>
    <row r="278" spans="1:19" x14ac:dyDescent="0.35">
      <c r="A278" t="s">
        <v>289</v>
      </c>
      <c r="B278" t="s">
        <v>789</v>
      </c>
      <c r="C278" t="s">
        <v>1015</v>
      </c>
      <c r="D278" t="s">
        <v>1019</v>
      </c>
      <c r="E278" s="6">
        <v>10070</v>
      </c>
      <c r="F278" s="6">
        <v>62183.769767280392</v>
      </c>
      <c r="G278" t="s">
        <v>1023</v>
      </c>
      <c r="H278" s="3">
        <v>45415</v>
      </c>
      <c r="I278" s="3">
        <v>45093</v>
      </c>
      <c r="J278" s="3">
        <v>45553</v>
      </c>
      <c r="K278" t="s">
        <v>1025</v>
      </c>
      <c r="L278">
        <v>53</v>
      </c>
      <c r="M278" s="6">
        <v>6855</v>
      </c>
      <c r="O278">
        <f t="shared" si="20"/>
        <v>6.1749999999999998</v>
      </c>
      <c r="P278">
        <f t="shared" si="21"/>
        <v>460</v>
      </c>
      <c r="Q278">
        <f t="shared" ca="1" si="22"/>
        <v>548</v>
      </c>
      <c r="R278" t="str">
        <f t="shared" si="23"/>
        <v>Normal</v>
      </c>
      <c r="S278">
        <f t="shared" si="24"/>
        <v>62183.769767280392</v>
      </c>
    </row>
    <row r="279" spans="1:19" x14ac:dyDescent="0.35">
      <c r="A279" t="s">
        <v>290</v>
      </c>
      <c r="B279" t="s">
        <v>790</v>
      </c>
      <c r="C279" t="s">
        <v>1016</v>
      </c>
      <c r="D279" t="s">
        <v>1017</v>
      </c>
      <c r="E279" s="6">
        <v>10666</v>
      </c>
      <c r="F279" s="6">
        <v>41641.203614856211</v>
      </c>
      <c r="G279" t="s">
        <v>1023</v>
      </c>
      <c r="H279" s="3">
        <v>45459</v>
      </c>
      <c r="I279" s="3">
        <v>45091</v>
      </c>
      <c r="J279" s="3">
        <v>45494</v>
      </c>
      <c r="K279" t="s">
        <v>1025</v>
      </c>
      <c r="L279">
        <v>47</v>
      </c>
      <c r="M279" s="6">
        <v>8547</v>
      </c>
      <c r="O279">
        <f t="shared" si="20"/>
        <v>3.9039999999999999</v>
      </c>
      <c r="P279">
        <f t="shared" si="21"/>
        <v>403</v>
      </c>
      <c r="Q279">
        <f t="shared" ca="1" si="22"/>
        <v>504</v>
      </c>
      <c r="R279" t="str">
        <f t="shared" si="23"/>
        <v>Normal</v>
      </c>
      <c r="S279">
        <f t="shared" si="24"/>
        <v>41641.203614856211</v>
      </c>
    </row>
    <row r="280" spans="1:19" x14ac:dyDescent="0.35">
      <c r="A280" t="s">
        <v>291</v>
      </c>
      <c r="B280" t="s">
        <v>791</v>
      </c>
      <c r="C280" t="s">
        <v>1015</v>
      </c>
      <c r="D280" t="s">
        <v>1021</v>
      </c>
      <c r="E280" s="6">
        <v>59761</v>
      </c>
      <c r="F280" s="6">
        <v>39257.040768328799</v>
      </c>
      <c r="G280" t="s">
        <v>1024</v>
      </c>
      <c r="H280" s="3">
        <v>45529</v>
      </c>
      <c r="I280" s="3">
        <v>45119</v>
      </c>
      <c r="J280" s="3">
        <v>45412</v>
      </c>
      <c r="K280" t="s">
        <v>1025</v>
      </c>
      <c r="L280">
        <v>32</v>
      </c>
      <c r="M280" s="6">
        <v>9196</v>
      </c>
      <c r="O280">
        <f t="shared" si="20"/>
        <v>0.65700000000000003</v>
      </c>
      <c r="P280">
        <f t="shared" si="21"/>
        <v>293</v>
      </c>
      <c r="Q280">
        <f t="shared" ca="1" si="22"/>
        <v>434</v>
      </c>
      <c r="R280" t="str">
        <f t="shared" si="23"/>
        <v>High</v>
      </c>
      <c r="S280">
        <f t="shared" si="24"/>
        <v>0</v>
      </c>
    </row>
    <row r="281" spans="1:19" x14ac:dyDescent="0.35">
      <c r="A281" t="s">
        <v>292</v>
      </c>
      <c r="B281" t="s">
        <v>792</v>
      </c>
      <c r="C281" t="s">
        <v>1016</v>
      </c>
      <c r="D281" t="s">
        <v>1018</v>
      </c>
      <c r="E281" s="6">
        <v>38368</v>
      </c>
      <c r="F281" s="6">
        <v>33527.751670261518</v>
      </c>
      <c r="G281" t="s">
        <v>1023</v>
      </c>
      <c r="H281" s="3">
        <v>45456</v>
      </c>
      <c r="I281" s="3">
        <v>45182</v>
      </c>
      <c r="J281" s="3">
        <v>45374</v>
      </c>
      <c r="K281" t="s">
        <v>1025</v>
      </c>
      <c r="L281">
        <v>34</v>
      </c>
      <c r="M281" s="6">
        <v>7911</v>
      </c>
      <c r="O281">
        <f t="shared" si="20"/>
        <v>0.874</v>
      </c>
      <c r="P281">
        <f t="shared" si="21"/>
        <v>192</v>
      </c>
      <c r="Q281">
        <f t="shared" ca="1" si="22"/>
        <v>507</v>
      </c>
      <c r="R281" t="str">
        <f t="shared" si="23"/>
        <v>Normal</v>
      </c>
      <c r="S281">
        <f t="shared" si="24"/>
        <v>33527.751670261518</v>
      </c>
    </row>
    <row r="282" spans="1:19" x14ac:dyDescent="0.35">
      <c r="A282" t="s">
        <v>293</v>
      </c>
      <c r="B282" t="s">
        <v>793</v>
      </c>
      <c r="C282" t="s">
        <v>1014</v>
      </c>
      <c r="D282" t="s">
        <v>1021</v>
      </c>
      <c r="E282" s="6">
        <v>8783</v>
      </c>
      <c r="F282" s="6">
        <v>29523.319871544321</v>
      </c>
      <c r="G282" t="s">
        <v>1023</v>
      </c>
      <c r="H282" s="3">
        <v>45512</v>
      </c>
      <c r="I282" s="3">
        <v>44997</v>
      </c>
      <c r="J282" s="3">
        <v>45643</v>
      </c>
      <c r="K282" t="s">
        <v>1026</v>
      </c>
      <c r="L282">
        <v>42</v>
      </c>
      <c r="M282" s="6">
        <v>8481</v>
      </c>
      <c r="O282">
        <f t="shared" si="20"/>
        <v>3.3610000000000002</v>
      </c>
      <c r="P282">
        <f t="shared" si="21"/>
        <v>646</v>
      </c>
      <c r="Q282">
        <f t="shared" ca="1" si="22"/>
        <v>451</v>
      </c>
      <c r="R282" t="str">
        <f t="shared" si="23"/>
        <v>Normal</v>
      </c>
      <c r="S282">
        <f t="shared" si="24"/>
        <v>29523.319871544321</v>
      </c>
    </row>
    <row r="283" spans="1:19" x14ac:dyDescent="0.35">
      <c r="A283" t="s">
        <v>294</v>
      </c>
      <c r="B283" t="s">
        <v>794</v>
      </c>
      <c r="C283" t="s">
        <v>1014</v>
      </c>
      <c r="D283" t="s">
        <v>1018</v>
      </c>
      <c r="E283" s="6">
        <v>43914</v>
      </c>
      <c r="F283" s="6">
        <v>71897.187060437034</v>
      </c>
      <c r="G283" t="s">
        <v>1023</v>
      </c>
      <c r="H283" s="3">
        <v>45527</v>
      </c>
      <c r="I283" s="3">
        <v>45061</v>
      </c>
      <c r="J283" s="3">
        <v>45482</v>
      </c>
      <c r="K283" t="s">
        <v>1026</v>
      </c>
      <c r="L283">
        <v>63</v>
      </c>
      <c r="M283" s="6">
        <v>4761</v>
      </c>
      <c r="O283">
        <f t="shared" si="20"/>
        <v>1.637</v>
      </c>
      <c r="P283">
        <f t="shared" si="21"/>
        <v>421</v>
      </c>
      <c r="Q283">
        <f t="shared" ca="1" si="22"/>
        <v>436</v>
      </c>
      <c r="R283" t="str">
        <f t="shared" si="23"/>
        <v>Normal</v>
      </c>
      <c r="S283">
        <f t="shared" si="24"/>
        <v>71897.187060437034</v>
      </c>
    </row>
    <row r="284" spans="1:19" x14ac:dyDescent="0.35">
      <c r="A284" t="s">
        <v>295</v>
      </c>
      <c r="B284" t="s">
        <v>795</v>
      </c>
      <c r="C284" t="s">
        <v>1016</v>
      </c>
      <c r="D284" t="s">
        <v>1018</v>
      </c>
      <c r="E284" s="6">
        <v>72507</v>
      </c>
      <c r="F284" s="6">
        <v>2922.3671623010109</v>
      </c>
      <c r="G284" t="s">
        <v>1023</v>
      </c>
      <c r="H284" s="3">
        <v>45449</v>
      </c>
      <c r="I284" s="3">
        <v>45188</v>
      </c>
      <c r="J284" s="3">
        <v>45595</v>
      </c>
      <c r="K284" t="s">
        <v>1026</v>
      </c>
      <c r="L284">
        <v>45</v>
      </c>
      <c r="M284" s="6">
        <v>6456</v>
      </c>
      <c r="O284">
        <f t="shared" si="20"/>
        <v>0.04</v>
      </c>
      <c r="P284">
        <f t="shared" si="21"/>
        <v>407</v>
      </c>
      <c r="Q284">
        <f t="shared" ca="1" si="22"/>
        <v>514</v>
      </c>
      <c r="R284" t="str">
        <f t="shared" si="23"/>
        <v>High</v>
      </c>
      <c r="S284">
        <f t="shared" si="24"/>
        <v>2922.3671623010109</v>
      </c>
    </row>
    <row r="285" spans="1:19" x14ac:dyDescent="0.35">
      <c r="A285" t="s">
        <v>296</v>
      </c>
      <c r="B285" t="s">
        <v>796</v>
      </c>
      <c r="C285" t="s">
        <v>1013</v>
      </c>
      <c r="D285" t="s">
        <v>1018</v>
      </c>
      <c r="E285" s="6">
        <v>81026</v>
      </c>
      <c r="F285" s="6">
        <v>14962.30252296692</v>
      </c>
      <c r="G285" t="s">
        <v>1022</v>
      </c>
      <c r="H285" s="3">
        <v>45489</v>
      </c>
      <c r="I285" s="3">
        <v>45279</v>
      </c>
      <c r="J285" s="3">
        <v>45523</v>
      </c>
      <c r="K285" t="s">
        <v>1025</v>
      </c>
      <c r="L285">
        <v>23</v>
      </c>
      <c r="M285" s="6">
        <v>14856</v>
      </c>
      <c r="O285">
        <f t="shared" si="20"/>
        <v>0.185</v>
      </c>
      <c r="P285">
        <f t="shared" si="21"/>
        <v>244</v>
      </c>
      <c r="Q285">
        <f t="shared" ca="1" si="22"/>
        <v>474</v>
      </c>
      <c r="R285" t="str">
        <f t="shared" si="23"/>
        <v>High</v>
      </c>
      <c r="S285">
        <f t="shared" si="24"/>
        <v>14962.30252296692</v>
      </c>
    </row>
    <row r="286" spans="1:19" x14ac:dyDescent="0.35">
      <c r="A286" t="s">
        <v>297</v>
      </c>
      <c r="B286" t="s">
        <v>797</v>
      </c>
      <c r="C286" t="s">
        <v>1016</v>
      </c>
      <c r="D286" t="s">
        <v>1017</v>
      </c>
      <c r="E286" s="6">
        <v>69526</v>
      </c>
      <c r="F286" s="6">
        <v>47612.925722979176</v>
      </c>
      <c r="G286" t="s">
        <v>1023</v>
      </c>
      <c r="H286" s="3">
        <v>45333</v>
      </c>
      <c r="I286" s="3">
        <v>45285</v>
      </c>
      <c r="J286" s="3">
        <v>45472</v>
      </c>
      <c r="K286" t="s">
        <v>1025</v>
      </c>
      <c r="L286">
        <v>45</v>
      </c>
      <c r="M286" s="6">
        <v>11607</v>
      </c>
      <c r="O286">
        <f t="shared" si="20"/>
        <v>0.68500000000000005</v>
      </c>
      <c r="P286">
        <f t="shared" si="21"/>
        <v>187</v>
      </c>
      <c r="Q286">
        <f t="shared" ca="1" si="22"/>
        <v>630</v>
      </c>
      <c r="R286" t="str">
        <f t="shared" si="23"/>
        <v>High</v>
      </c>
      <c r="S286">
        <f t="shared" si="24"/>
        <v>47612.925722979176</v>
      </c>
    </row>
    <row r="287" spans="1:19" x14ac:dyDescent="0.35">
      <c r="A287" t="s">
        <v>298</v>
      </c>
      <c r="B287" t="s">
        <v>798</v>
      </c>
      <c r="C287" t="s">
        <v>1013</v>
      </c>
      <c r="D287" t="s">
        <v>1020</v>
      </c>
      <c r="E287" s="6">
        <v>72835</v>
      </c>
      <c r="F287" s="6">
        <v>36357.073898641524</v>
      </c>
      <c r="G287" t="s">
        <v>1022</v>
      </c>
      <c r="H287" s="3">
        <v>45363</v>
      </c>
      <c r="I287" s="3">
        <v>45205</v>
      </c>
      <c r="J287" s="3">
        <v>45619</v>
      </c>
      <c r="K287" t="s">
        <v>1026</v>
      </c>
      <c r="L287">
        <v>59</v>
      </c>
      <c r="M287" s="6">
        <v>8361</v>
      </c>
      <c r="O287">
        <f t="shared" si="20"/>
        <v>0.499</v>
      </c>
      <c r="P287">
        <f t="shared" si="21"/>
        <v>414</v>
      </c>
      <c r="Q287">
        <f t="shared" ca="1" si="22"/>
        <v>600</v>
      </c>
      <c r="R287" t="str">
        <f t="shared" si="23"/>
        <v>High</v>
      </c>
      <c r="S287">
        <f t="shared" si="24"/>
        <v>36357.073898641524</v>
      </c>
    </row>
    <row r="288" spans="1:19" x14ac:dyDescent="0.35">
      <c r="A288" t="s">
        <v>299</v>
      </c>
      <c r="B288" t="s">
        <v>799</v>
      </c>
      <c r="C288" t="s">
        <v>1015</v>
      </c>
      <c r="D288" t="s">
        <v>1021</v>
      </c>
      <c r="E288" s="6">
        <v>47765</v>
      </c>
      <c r="F288" s="6">
        <v>41896.414193750898</v>
      </c>
      <c r="G288" t="s">
        <v>1024</v>
      </c>
      <c r="H288" s="3">
        <v>45337</v>
      </c>
      <c r="I288" s="3">
        <v>45263</v>
      </c>
      <c r="J288" s="3">
        <v>45580</v>
      </c>
      <c r="K288" t="s">
        <v>1025</v>
      </c>
      <c r="L288">
        <v>28</v>
      </c>
      <c r="M288" s="6">
        <v>7693</v>
      </c>
      <c r="O288">
        <f t="shared" si="20"/>
        <v>0.877</v>
      </c>
      <c r="P288">
        <f t="shared" si="21"/>
        <v>317</v>
      </c>
      <c r="Q288">
        <f t="shared" ca="1" si="22"/>
        <v>626</v>
      </c>
      <c r="R288" t="str">
        <f t="shared" si="23"/>
        <v>Normal</v>
      </c>
      <c r="S288">
        <f t="shared" si="24"/>
        <v>0</v>
      </c>
    </row>
    <row r="289" spans="1:19" x14ac:dyDescent="0.35">
      <c r="A289" t="s">
        <v>300</v>
      </c>
      <c r="B289" t="s">
        <v>800</v>
      </c>
      <c r="C289" t="s">
        <v>1015</v>
      </c>
      <c r="D289" t="s">
        <v>1017</v>
      </c>
      <c r="E289" s="6">
        <v>21956</v>
      </c>
      <c r="F289" s="6">
        <v>54977.407554637037</v>
      </c>
      <c r="G289" t="s">
        <v>1023</v>
      </c>
      <c r="H289" s="3">
        <v>45557</v>
      </c>
      <c r="I289" s="3">
        <v>45201</v>
      </c>
      <c r="J289" s="3">
        <v>45498</v>
      </c>
      <c r="K289" t="s">
        <v>1025</v>
      </c>
      <c r="L289">
        <v>24</v>
      </c>
      <c r="M289" s="6">
        <v>7788</v>
      </c>
      <c r="O289">
        <f t="shared" si="20"/>
        <v>2.504</v>
      </c>
      <c r="P289">
        <f t="shared" si="21"/>
        <v>297</v>
      </c>
      <c r="Q289">
        <f t="shared" ca="1" si="22"/>
        <v>406</v>
      </c>
      <c r="R289" t="str">
        <f t="shared" si="23"/>
        <v>Normal</v>
      </c>
      <c r="S289">
        <f t="shared" si="24"/>
        <v>54977.407554637037</v>
      </c>
    </row>
    <row r="290" spans="1:19" x14ac:dyDescent="0.35">
      <c r="A290" t="s">
        <v>301</v>
      </c>
      <c r="B290" t="s">
        <v>801</v>
      </c>
      <c r="C290" t="s">
        <v>1015</v>
      </c>
      <c r="D290" t="s">
        <v>1017</v>
      </c>
      <c r="E290" s="6">
        <v>89895</v>
      </c>
      <c r="F290" s="6">
        <v>14279.21807458353</v>
      </c>
      <c r="G290" t="s">
        <v>1023</v>
      </c>
      <c r="H290" s="3">
        <v>45424</v>
      </c>
      <c r="I290" s="3">
        <v>45198</v>
      </c>
      <c r="J290" s="3">
        <v>45574</v>
      </c>
      <c r="K290" t="s">
        <v>1026</v>
      </c>
      <c r="L290">
        <v>51</v>
      </c>
      <c r="M290" s="6">
        <v>2201</v>
      </c>
      <c r="O290">
        <f t="shared" si="20"/>
        <v>0.159</v>
      </c>
      <c r="P290">
        <f t="shared" si="21"/>
        <v>376</v>
      </c>
      <c r="Q290">
        <f t="shared" ca="1" si="22"/>
        <v>539</v>
      </c>
      <c r="R290" t="str">
        <f t="shared" si="23"/>
        <v>High</v>
      </c>
      <c r="S290">
        <f t="shared" si="24"/>
        <v>14279.21807458353</v>
      </c>
    </row>
    <row r="291" spans="1:19" x14ac:dyDescent="0.35">
      <c r="A291" t="s">
        <v>302</v>
      </c>
      <c r="B291" t="s">
        <v>802</v>
      </c>
      <c r="C291" t="s">
        <v>1014</v>
      </c>
      <c r="D291" t="s">
        <v>1017</v>
      </c>
      <c r="E291" s="6">
        <v>48240</v>
      </c>
      <c r="F291" s="6">
        <v>29678.53217365365</v>
      </c>
      <c r="G291" t="s">
        <v>1023</v>
      </c>
      <c r="H291" s="3">
        <v>45534</v>
      </c>
      <c r="I291" s="3">
        <v>45125</v>
      </c>
      <c r="J291" s="3">
        <v>45605</v>
      </c>
      <c r="K291" t="s">
        <v>1025</v>
      </c>
      <c r="L291">
        <v>39</v>
      </c>
      <c r="M291" s="6">
        <v>8160</v>
      </c>
      <c r="O291">
        <f t="shared" si="20"/>
        <v>0.61499999999999999</v>
      </c>
      <c r="P291">
        <f t="shared" si="21"/>
        <v>480</v>
      </c>
      <c r="Q291">
        <f t="shared" ca="1" si="22"/>
        <v>429</v>
      </c>
      <c r="R291" t="str">
        <f t="shared" si="23"/>
        <v>Normal</v>
      </c>
      <c r="S291">
        <f t="shared" si="24"/>
        <v>29678.53217365365</v>
      </c>
    </row>
    <row r="292" spans="1:19" x14ac:dyDescent="0.35">
      <c r="A292" t="s">
        <v>303</v>
      </c>
      <c r="B292" t="s">
        <v>803</v>
      </c>
      <c r="C292" t="s">
        <v>1015</v>
      </c>
      <c r="D292" t="s">
        <v>1017</v>
      </c>
      <c r="E292" s="6">
        <v>39148</v>
      </c>
      <c r="F292" s="6">
        <v>59659.494483319817</v>
      </c>
      <c r="G292" t="s">
        <v>1022</v>
      </c>
      <c r="H292" s="3">
        <v>45306</v>
      </c>
      <c r="I292" s="3">
        <v>45093</v>
      </c>
      <c r="J292" s="3">
        <v>45589</v>
      </c>
      <c r="K292" t="s">
        <v>1026</v>
      </c>
      <c r="L292">
        <v>69</v>
      </c>
      <c r="M292" s="6">
        <v>12561</v>
      </c>
      <c r="O292">
        <f t="shared" si="20"/>
        <v>1.524</v>
      </c>
      <c r="P292">
        <f t="shared" si="21"/>
        <v>496</v>
      </c>
      <c r="Q292">
        <f t="shared" ca="1" si="22"/>
        <v>657</v>
      </c>
      <c r="R292" t="str">
        <f t="shared" si="23"/>
        <v>Normal</v>
      </c>
      <c r="S292">
        <f t="shared" si="24"/>
        <v>59659.494483319817</v>
      </c>
    </row>
    <row r="293" spans="1:19" x14ac:dyDescent="0.35">
      <c r="A293" t="s">
        <v>304</v>
      </c>
      <c r="B293" t="s">
        <v>804</v>
      </c>
      <c r="C293" t="s">
        <v>1013</v>
      </c>
      <c r="D293" t="s">
        <v>1017</v>
      </c>
      <c r="E293" s="6">
        <v>96270</v>
      </c>
      <c r="F293" s="6">
        <v>93095.068489564132</v>
      </c>
      <c r="G293" t="s">
        <v>1023</v>
      </c>
      <c r="H293" s="3">
        <v>45509</v>
      </c>
      <c r="I293" s="3">
        <v>45223</v>
      </c>
      <c r="J293" s="3">
        <v>45571</v>
      </c>
      <c r="K293" t="s">
        <v>1025</v>
      </c>
      <c r="L293">
        <v>30</v>
      </c>
      <c r="M293" s="6">
        <v>2517</v>
      </c>
      <c r="O293">
        <f t="shared" si="20"/>
        <v>0.96699999999999997</v>
      </c>
      <c r="P293">
        <f t="shared" si="21"/>
        <v>348</v>
      </c>
      <c r="Q293">
        <f t="shared" ca="1" si="22"/>
        <v>454</v>
      </c>
      <c r="R293" t="str">
        <f t="shared" si="23"/>
        <v>High</v>
      </c>
      <c r="S293">
        <f t="shared" si="24"/>
        <v>93095.068489564132</v>
      </c>
    </row>
    <row r="294" spans="1:19" x14ac:dyDescent="0.35">
      <c r="A294" t="s">
        <v>305</v>
      </c>
      <c r="B294" t="s">
        <v>805</v>
      </c>
      <c r="C294" t="s">
        <v>1015</v>
      </c>
      <c r="D294" t="s">
        <v>1019</v>
      </c>
      <c r="E294" s="6">
        <v>6757</v>
      </c>
      <c r="F294" s="6">
        <v>0</v>
      </c>
      <c r="G294" t="s">
        <v>1023</v>
      </c>
      <c r="H294" s="3">
        <v>45445</v>
      </c>
      <c r="I294" s="3">
        <v>45080</v>
      </c>
      <c r="J294" s="3">
        <v>45634</v>
      </c>
      <c r="K294" t="s">
        <v>1026</v>
      </c>
      <c r="L294">
        <v>34</v>
      </c>
      <c r="M294" s="6">
        <v>9737</v>
      </c>
      <c r="O294">
        <f t="shared" si="20"/>
        <v>0</v>
      </c>
      <c r="P294">
        <f t="shared" si="21"/>
        <v>554</v>
      </c>
      <c r="Q294">
        <f t="shared" ca="1" si="22"/>
        <v>518</v>
      </c>
      <c r="R294" t="str">
        <f t="shared" si="23"/>
        <v>Normal</v>
      </c>
      <c r="S294">
        <f t="shared" si="24"/>
        <v>0</v>
      </c>
    </row>
    <row r="295" spans="1:19" x14ac:dyDescent="0.35">
      <c r="A295" t="s">
        <v>306</v>
      </c>
      <c r="B295" t="s">
        <v>806</v>
      </c>
      <c r="C295" t="s">
        <v>1016</v>
      </c>
      <c r="D295" t="s">
        <v>1021</v>
      </c>
      <c r="E295" s="6">
        <v>21097</v>
      </c>
      <c r="F295" s="6">
        <v>0</v>
      </c>
      <c r="G295" t="s">
        <v>1022</v>
      </c>
      <c r="H295" s="3">
        <v>45520</v>
      </c>
      <c r="I295" s="3">
        <v>45274</v>
      </c>
      <c r="J295" s="3">
        <v>45429</v>
      </c>
      <c r="K295" t="s">
        <v>1025</v>
      </c>
      <c r="L295">
        <v>51</v>
      </c>
      <c r="M295" s="6">
        <v>11533</v>
      </c>
      <c r="O295">
        <f t="shared" si="20"/>
        <v>0</v>
      </c>
      <c r="P295">
        <f t="shared" si="21"/>
        <v>155</v>
      </c>
      <c r="Q295">
        <f t="shared" ca="1" si="22"/>
        <v>443</v>
      </c>
      <c r="R295" t="str">
        <f t="shared" si="23"/>
        <v>Normal</v>
      </c>
      <c r="S295">
        <f t="shared" si="24"/>
        <v>0</v>
      </c>
    </row>
    <row r="296" spans="1:19" x14ac:dyDescent="0.35">
      <c r="A296" t="s">
        <v>307</v>
      </c>
      <c r="B296" t="s">
        <v>807</v>
      </c>
      <c r="C296" t="s">
        <v>1016</v>
      </c>
      <c r="D296" t="s">
        <v>1017</v>
      </c>
      <c r="E296" s="6">
        <v>12395</v>
      </c>
      <c r="F296" s="6">
        <v>65480.477280047518</v>
      </c>
      <c r="G296" t="s">
        <v>1023</v>
      </c>
      <c r="H296" s="3">
        <v>45563</v>
      </c>
      <c r="I296" s="3">
        <v>45155</v>
      </c>
      <c r="J296" s="3">
        <v>45307</v>
      </c>
      <c r="K296" t="s">
        <v>1025</v>
      </c>
      <c r="L296">
        <v>47</v>
      </c>
      <c r="M296" s="6">
        <v>14968</v>
      </c>
      <c r="O296">
        <f t="shared" si="20"/>
        <v>5.2830000000000004</v>
      </c>
      <c r="P296">
        <f t="shared" si="21"/>
        <v>152</v>
      </c>
      <c r="Q296">
        <f t="shared" ca="1" si="22"/>
        <v>400</v>
      </c>
      <c r="R296" t="str">
        <f t="shared" si="23"/>
        <v>Normal</v>
      </c>
      <c r="S296">
        <f t="shared" si="24"/>
        <v>65480.477280047518</v>
      </c>
    </row>
    <row r="297" spans="1:19" x14ac:dyDescent="0.35">
      <c r="A297" t="s">
        <v>308</v>
      </c>
      <c r="B297" t="s">
        <v>808</v>
      </c>
      <c r="C297" t="s">
        <v>1014</v>
      </c>
      <c r="D297" t="s">
        <v>1021</v>
      </c>
      <c r="E297" s="6">
        <v>18241</v>
      </c>
      <c r="F297" s="6">
        <v>76441.853855384048</v>
      </c>
      <c r="G297" t="s">
        <v>1024</v>
      </c>
      <c r="H297" s="3">
        <v>45385</v>
      </c>
      <c r="I297" s="3">
        <v>44971</v>
      </c>
      <c r="J297" s="3">
        <v>45367</v>
      </c>
      <c r="K297" t="s">
        <v>1026</v>
      </c>
      <c r="L297">
        <v>41</v>
      </c>
      <c r="M297" s="6">
        <v>3988</v>
      </c>
      <c r="O297">
        <f t="shared" si="20"/>
        <v>4.1909999999999998</v>
      </c>
      <c r="P297">
        <f t="shared" si="21"/>
        <v>396</v>
      </c>
      <c r="Q297">
        <f t="shared" ca="1" si="22"/>
        <v>578</v>
      </c>
      <c r="R297" t="str">
        <f t="shared" si="23"/>
        <v>Normal</v>
      </c>
      <c r="S297">
        <f t="shared" si="24"/>
        <v>0</v>
      </c>
    </row>
    <row r="298" spans="1:19" x14ac:dyDescent="0.35">
      <c r="A298" t="s">
        <v>309</v>
      </c>
      <c r="B298" t="s">
        <v>809</v>
      </c>
      <c r="C298" t="s">
        <v>1016</v>
      </c>
      <c r="D298" t="s">
        <v>1019</v>
      </c>
      <c r="E298" s="6">
        <v>29696</v>
      </c>
      <c r="F298" s="6">
        <v>76946.777809869251</v>
      </c>
      <c r="G298" t="s">
        <v>1023</v>
      </c>
      <c r="H298" s="3">
        <v>45553</v>
      </c>
      <c r="I298" s="3">
        <v>44978</v>
      </c>
      <c r="J298" s="3">
        <v>45611</v>
      </c>
      <c r="K298" t="s">
        <v>1025</v>
      </c>
      <c r="L298">
        <v>60</v>
      </c>
      <c r="M298" s="6">
        <v>13737</v>
      </c>
      <c r="O298">
        <f t="shared" si="20"/>
        <v>2.5910000000000002</v>
      </c>
      <c r="P298">
        <f t="shared" si="21"/>
        <v>633</v>
      </c>
      <c r="Q298">
        <f t="shared" ca="1" si="22"/>
        <v>410</v>
      </c>
      <c r="R298" t="str">
        <f t="shared" si="23"/>
        <v>Normal</v>
      </c>
      <c r="S298">
        <f t="shared" si="24"/>
        <v>76946.777809869251</v>
      </c>
    </row>
    <row r="299" spans="1:19" x14ac:dyDescent="0.35">
      <c r="A299" t="s">
        <v>310</v>
      </c>
      <c r="B299" t="s">
        <v>810</v>
      </c>
      <c r="C299" t="s">
        <v>1013</v>
      </c>
      <c r="D299" t="s">
        <v>1019</v>
      </c>
      <c r="E299" s="6">
        <v>72480</v>
      </c>
      <c r="F299" s="6">
        <v>46502.84114500766</v>
      </c>
      <c r="G299" t="s">
        <v>1023</v>
      </c>
      <c r="H299" s="3">
        <v>45372</v>
      </c>
      <c r="I299" s="3">
        <v>45255</v>
      </c>
      <c r="J299" s="3">
        <v>45304</v>
      </c>
      <c r="K299" t="s">
        <v>1025</v>
      </c>
      <c r="L299">
        <v>36</v>
      </c>
      <c r="M299" s="6">
        <v>14712</v>
      </c>
      <c r="O299">
        <f t="shared" si="20"/>
        <v>0.64200000000000002</v>
      </c>
      <c r="P299">
        <f t="shared" si="21"/>
        <v>49</v>
      </c>
      <c r="Q299">
        <f t="shared" ca="1" si="22"/>
        <v>591</v>
      </c>
      <c r="R299" t="str">
        <f t="shared" si="23"/>
        <v>High</v>
      </c>
      <c r="S299">
        <f t="shared" si="24"/>
        <v>46502.84114500766</v>
      </c>
    </row>
    <row r="300" spans="1:19" x14ac:dyDescent="0.35">
      <c r="A300" t="s">
        <v>311</v>
      </c>
      <c r="B300" t="s">
        <v>811</v>
      </c>
      <c r="C300" t="s">
        <v>1015</v>
      </c>
      <c r="D300" t="s">
        <v>1021</v>
      </c>
      <c r="E300" s="6">
        <v>48163</v>
      </c>
      <c r="F300" s="6">
        <v>75438.207639567714</v>
      </c>
      <c r="G300" t="s">
        <v>1023</v>
      </c>
      <c r="H300" s="3">
        <v>45428</v>
      </c>
      <c r="I300" s="3">
        <v>45288</v>
      </c>
      <c r="J300" s="3">
        <v>45497</v>
      </c>
      <c r="K300" t="s">
        <v>1026</v>
      </c>
      <c r="L300">
        <v>45</v>
      </c>
      <c r="M300" s="6">
        <v>5802</v>
      </c>
      <c r="O300">
        <f t="shared" si="20"/>
        <v>1.5660000000000001</v>
      </c>
      <c r="P300">
        <f t="shared" si="21"/>
        <v>209</v>
      </c>
      <c r="Q300">
        <f t="shared" ca="1" si="22"/>
        <v>535</v>
      </c>
      <c r="R300" t="str">
        <f t="shared" si="23"/>
        <v>Normal</v>
      </c>
      <c r="S300">
        <f t="shared" si="24"/>
        <v>75438.207639567714</v>
      </c>
    </row>
    <row r="301" spans="1:19" x14ac:dyDescent="0.35">
      <c r="A301" t="s">
        <v>312</v>
      </c>
      <c r="B301" t="s">
        <v>812</v>
      </c>
      <c r="C301" t="s">
        <v>1014</v>
      </c>
      <c r="D301" t="s">
        <v>1018</v>
      </c>
      <c r="E301" s="6">
        <v>21816</v>
      </c>
      <c r="F301" s="6">
        <v>0</v>
      </c>
      <c r="G301" t="s">
        <v>1022</v>
      </c>
      <c r="H301" s="3">
        <v>45432</v>
      </c>
      <c r="I301" s="3">
        <v>45207</v>
      </c>
      <c r="J301" s="3">
        <v>45299</v>
      </c>
      <c r="K301" t="s">
        <v>1025</v>
      </c>
      <c r="L301">
        <v>63</v>
      </c>
      <c r="M301" s="6">
        <v>7808</v>
      </c>
      <c r="O301">
        <f t="shared" si="20"/>
        <v>0</v>
      </c>
      <c r="P301">
        <f t="shared" si="21"/>
        <v>92</v>
      </c>
      <c r="Q301">
        <f t="shared" ca="1" si="22"/>
        <v>531</v>
      </c>
      <c r="R301" t="str">
        <f t="shared" si="23"/>
        <v>Normal</v>
      </c>
      <c r="S301">
        <f t="shared" si="24"/>
        <v>0</v>
      </c>
    </row>
    <row r="302" spans="1:19" x14ac:dyDescent="0.35">
      <c r="A302" t="s">
        <v>313</v>
      </c>
      <c r="B302" t="s">
        <v>813</v>
      </c>
      <c r="C302" t="s">
        <v>1015</v>
      </c>
      <c r="D302" t="s">
        <v>1020</v>
      </c>
      <c r="E302" s="6">
        <v>51840</v>
      </c>
      <c r="F302" s="6">
        <v>34674.139158720704</v>
      </c>
      <c r="G302" t="s">
        <v>1023</v>
      </c>
      <c r="H302" s="3">
        <v>45404</v>
      </c>
      <c r="I302" s="3">
        <v>44995</v>
      </c>
      <c r="J302" s="3">
        <v>45326</v>
      </c>
      <c r="K302" t="s">
        <v>1026</v>
      </c>
      <c r="L302">
        <v>26</v>
      </c>
      <c r="M302" s="6">
        <v>13467</v>
      </c>
      <c r="O302">
        <f t="shared" si="20"/>
        <v>0.66900000000000004</v>
      </c>
      <c r="P302">
        <f t="shared" si="21"/>
        <v>331</v>
      </c>
      <c r="Q302">
        <f t="shared" ca="1" si="22"/>
        <v>559</v>
      </c>
      <c r="R302" t="str">
        <f t="shared" si="23"/>
        <v>High</v>
      </c>
      <c r="S302">
        <f t="shared" si="24"/>
        <v>34674.139158720704</v>
      </c>
    </row>
    <row r="303" spans="1:19" x14ac:dyDescent="0.35">
      <c r="A303" t="s">
        <v>314</v>
      </c>
      <c r="B303" t="s">
        <v>814</v>
      </c>
      <c r="C303" t="s">
        <v>1015</v>
      </c>
      <c r="D303" t="s">
        <v>1018</v>
      </c>
      <c r="E303" s="6">
        <v>54853</v>
      </c>
      <c r="F303" s="6">
        <v>0</v>
      </c>
      <c r="G303" t="s">
        <v>1022</v>
      </c>
      <c r="H303" s="3">
        <v>45585</v>
      </c>
      <c r="I303" s="3">
        <v>45084</v>
      </c>
      <c r="J303" s="3">
        <v>45643</v>
      </c>
      <c r="K303" t="s">
        <v>1025</v>
      </c>
      <c r="L303">
        <v>61</v>
      </c>
      <c r="M303" s="6">
        <v>13846</v>
      </c>
      <c r="O303">
        <f t="shared" si="20"/>
        <v>0</v>
      </c>
      <c r="P303">
        <f t="shared" si="21"/>
        <v>559</v>
      </c>
      <c r="Q303">
        <f t="shared" ca="1" si="22"/>
        <v>378</v>
      </c>
      <c r="R303" t="str">
        <f t="shared" si="23"/>
        <v>High</v>
      </c>
      <c r="S303">
        <f t="shared" si="24"/>
        <v>0</v>
      </c>
    </row>
    <row r="304" spans="1:19" x14ac:dyDescent="0.35">
      <c r="A304" t="s">
        <v>315</v>
      </c>
      <c r="B304" t="s">
        <v>815</v>
      </c>
      <c r="C304" t="s">
        <v>1013</v>
      </c>
      <c r="D304" t="s">
        <v>1018</v>
      </c>
      <c r="E304" s="6">
        <v>26917</v>
      </c>
      <c r="F304" s="6">
        <v>67042.430584082365</v>
      </c>
      <c r="G304" t="s">
        <v>1024</v>
      </c>
      <c r="H304" s="3">
        <v>45523</v>
      </c>
      <c r="I304" s="3">
        <v>45229</v>
      </c>
      <c r="J304" s="3">
        <v>45411</v>
      </c>
      <c r="K304" t="s">
        <v>1025</v>
      </c>
      <c r="L304">
        <v>45</v>
      </c>
      <c r="M304" s="6">
        <v>9162</v>
      </c>
      <c r="O304">
        <f t="shared" si="20"/>
        <v>2.4910000000000001</v>
      </c>
      <c r="P304">
        <f t="shared" si="21"/>
        <v>182</v>
      </c>
      <c r="Q304">
        <f t="shared" ca="1" si="22"/>
        <v>440</v>
      </c>
      <c r="R304" t="str">
        <f t="shared" si="23"/>
        <v>Normal</v>
      </c>
      <c r="S304">
        <f t="shared" si="24"/>
        <v>0</v>
      </c>
    </row>
    <row r="305" spans="1:19" x14ac:dyDescent="0.35">
      <c r="A305" t="s">
        <v>316</v>
      </c>
      <c r="B305" t="s">
        <v>816</v>
      </c>
      <c r="C305" t="s">
        <v>1016</v>
      </c>
      <c r="D305" t="s">
        <v>1018</v>
      </c>
      <c r="E305" s="6">
        <v>98731</v>
      </c>
      <c r="F305" s="6">
        <v>13651.378080385621</v>
      </c>
      <c r="G305" t="s">
        <v>1023</v>
      </c>
      <c r="H305" s="3">
        <v>45297</v>
      </c>
      <c r="I305" s="3">
        <v>44952</v>
      </c>
      <c r="J305" s="3">
        <v>45299</v>
      </c>
      <c r="K305" t="s">
        <v>1025</v>
      </c>
      <c r="L305">
        <v>44</v>
      </c>
      <c r="M305" s="6">
        <v>12626</v>
      </c>
      <c r="O305">
        <f t="shared" si="20"/>
        <v>0.13800000000000001</v>
      </c>
      <c r="P305">
        <f t="shared" si="21"/>
        <v>347</v>
      </c>
      <c r="Q305">
        <f t="shared" ca="1" si="22"/>
        <v>666</v>
      </c>
      <c r="R305" t="str">
        <f t="shared" si="23"/>
        <v>High</v>
      </c>
      <c r="S305">
        <f t="shared" si="24"/>
        <v>13651.378080385621</v>
      </c>
    </row>
    <row r="306" spans="1:19" x14ac:dyDescent="0.35">
      <c r="A306" t="s">
        <v>317</v>
      </c>
      <c r="B306" t="s">
        <v>817</v>
      </c>
      <c r="C306" t="s">
        <v>1016</v>
      </c>
      <c r="D306" t="s">
        <v>1017</v>
      </c>
      <c r="E306" s="6">
        <v>23566</v>
      </c>
      <c r="F306" s="6">
        <v>38631.74901893708</v>
      </c>
      <c r="G306" t="s">
        <v>1024</v>
      </c>
      <c r="H306" s="3">
        <v>45441</v>
      </c>
      <c r="I306" s="3">
        <v>45137</v>
      </c>
      <c r="J306" s="3">
        <v>45548</v>
      </c>
      <c r="K306" t="s">
        <v>1025</v>
      </c>
      <c r="L306">
        <v>29</v>
      </c>
      <c r="M306" s="6">
        <v>8241</v>
      </c>
      <c r="O306">
        <f t="shared" si="20"/>
        <v>1.639</v>
      </c>
      <c r="P306">
        <f t="shared" si="21"/>
        <v>411</v>
      </c>
      <c r="Q306">
        <f t="shared" ca="1" si="22"/>
        <v>522</v>
      </c>
      <c r="R306" t="str">
        <f t="shared" si="23"/>
        <v>Normal</v>
      </c>
      <c r="S306">
        <f t="shared" si="24"/>
        <v>0</v>
      </c>
    </row>
    <row r="307" spans="1:19" x14ac:dyDescent="0.35">
      <c r="A307" t="s">
        <v>318</v>
      </c>
      <c r="B307" t="s">
        <v>818</v>
      </c>
      <c r="C307" t="s">
        <v>1015</v>
      </c>
      <c r="D307" t="s">
        <v>1019</v>
      </c>
      <c r="E307" s="6">
        <v>77452</v>
      </c>
      <c r="F307" s="6">
        <v>23701.101643972059</v>
      </c>
      <c r="G307" t="s">
        <v>1023</v>
      </c>
      <c r="H307" s="3">
        <v>45391</v>
      </c>
      <c r="I307" s="3">
        <v>45215</v>
      </c>
      <c r="J307" s="3">
        <v>45333</v>
      </c>
      <c r="K307" t="s">
        <v>1026</v>
      </c>
      <c r="L307">
        <v>64</v>
      </c>
      <c r="M307" s="6">
        <v>10399</v>
      </c>
      <c r="O307">
        <f t="shared" si="20"/>
        <v>0.30599999999999999</v>
      </c>
      <c r="P307">
        <f t="shared" si="21"/>
        <v>118</v>
      </c>
      <c r="Q307">
        <f t="shared" ca="1" si="22"/>
        <v>572</v>
      </c>
      <c r="R307" t="str">
        <f t="shared" si="23"/>
        <v>High</v>
      </c>
      <c r="S307">
        <f t="shared" si="24"/>
        <v>23701.101643972059</v>
      </c>
    </row>
    <row r="308" spans="1:19" x14ac:dyDescent="0.35">
      <c r="A308" t="s">
        <v>319</v>
      </c>
      <c r="B308" t="s">
        <v>819</v>
      </c>
      <c r="C308" t="s">
        <v>1014</v>
      </c>
      <c r="D308" t="s">
        <v>1018</v>
      </c>
      <c r="E308" s="6">
        <v>64823</v>
      </c>
      <c r="F308" s="6">
        <v>59880.728335014057</v>
      </c>
      <c r="G308" t="s">
        <v>1023</v>
      </c>
      <c r="H308" s="3">
        <v>45296</v>
      </c>
      <c r="I308" s="3">
        <v>45291</v>
      </c>
      <c r="J308" s="3">
        <v>45366</v>
      </c>
      <c r="K308" t="s">
        <v>1025</v>
      </c>
      <c r="L308">
        <v>38</v>
      </c>
      <c r="M308" s="6">
        <v>7633</v>
      </c>
      <c r="O308">
        <f t="shared" si="20"/>
        <v>0.92400000000000004</v>
      </c>
      <c r="P308">
        <f t="shared" si="21"/>
        <v>75</v>
      </c>
      <c r="Q308">
        <f t="shared" ca="1" si="22"/>
        <v>667</v>
      </c>
      <c r="R308" t="str">
        <f t="shared" si="23"/>
        <v>High</v>
      </c>
      <c r="S308">
        <f t="shared" si="24"/>
        <v>59880.728335014057</v>
      </c>
    </row>
    <row r="309" spans="1:19" x14ac:dyDescent="0.35">
      <c r="A309" t="s">
        <v>320</v>
      </c>
      <c r="B309" t="s">
        <v>820</v>
      </c>
      <c r="C309" t="s">
        <v>1016</v>
      </c>
      <c r="D309" t="s">
        <v>1019</v>
      </c>
      <c r="E309" s="6">
        <v>22806</v>
      </c>
      <c r="F309" s="6">
        <v>2103.6500209699948</v>
      </c>
      <c r="G309" t="s">
        <v>1023</v>
      </c>
      <c r="H309" s="3">
        <v>45530</v>
      </c>
      <c r="I309" s="3">
        <v>44965</v>
      </c>
      <c r="J309" s="3">
        <v>45329</v>
      </c>
      <c r="K309" t="s">
        <v>1026</v>
      </c>
      <c r="L309">
        <v>30</v>
      </c>
      <c r="M309" s="6">
        <v>7755</v>
      </c>
      <c r="O309">
        <f t="shared" si="20"/>
        <v>9.1999999999999998E-2</v>
      </c>
      <c r="P309">
        <f t="shared" si="21"/>
        <v>364</v>
      </c>
      <c r="Q309">
        <f t="shared" ca="1" si="22"/>
        <v>433</v>
      </c>
      <c r="R309" t="str">
        <f t="shared" si="23"/>
        <v>Normal</v>
      </c>
      <c r="S309">
        <f t="shared" si="24"/>
        <v>2103.6500209699948</v>
      </c>
    </row>
    <row r="310" spans="1:19" x14ac:dyDescent="0.35">
      <c r="A310" t="s">
        <v>321</v>
      </c>
      <c r="B310" t="s">
        <v>821</v>
      </c>
      <c r="C310" t="s">
        <v>1014</v>
      </c>
      <c r="D310" t="s">
        <v>1021</v>
      </c>
      <c r="E310" s="6">
        <v>77520</v>
      </c>
      <c r="F310" s="6">
        <v>40194.184974586868</v>
      </c>
      <c r="G310" t="s">
        <v>1022</v>
      </c>
      <c r="H310" s="3">
        <v>45358</v>
      </c>
      <c r="I310" s="3">
        <v>44955</v>
      </c>
      <c r="J310" s="3">
        <v>45565</v>
      </c>
      <c r="K310" t="s">
        <v>1025</v>
      </c>
      <c r="L310">
        <v>32</v>
      </c>
      <c r="M310" s="6">
        <v>12825</v>
      </c>
      <c r="O310">
        <f t="shared" si="20"/>
        <v>0.51900000000000002</v>
      </c>
      <c r="P310">
        <f t="shared" si="21"/>
        <v>610</v>
      </c>
      <c r="Q310">
        <f t="shared" ca="1" si="22"/>
        <v>605</v>
      </c>
      <c r="R310" t="str">
        <f t="shared" si="23"/>
        <v>High</v>
      </c>
      <c r="S310">
        <f t="shared" si="24"/>
        <v>40194.184974586868</v>
      </c>
    </row>
    <row r="311" spans="1:19" x14ac:dyDescent="0.35">
      <c r="A311" t="s">
        <v>322</v>
      </c>
      <c r="B311" t="s">
        <v>822</v>
      </c>
      <c r="C311" t="s">
        <v>1016</v>
      </c>
      <c r="D311" t="s">
        <v>1020</v>
      </c>
      <c r="E311" s="6">
        <v>3759</v>
      </c>
      <c r="F311" s="6">
        <v>59484.475099390998</v>
      </c>
      <c r="G311" t="s">
        <v>1023</v>
      </c>
      <c r="H311" s="3">
        <v>45463</v>
      </c>
      <c r="I311" s="3">
        <v>45098</v>
      </c>
      <c r="J311" s="3">
        <v>45479</v>
      </c>
      <c r="K311" t="s">
        <v>1025</v>
      </c>
      <c r="L311">
        <v>27</v>
      </c>
      <c r="M311" s="6">
        <v>8309</v>
      </c>
      <c r="O311">
        <f t="shared" si="20"/>
        <v>15.824999999999999</v>
      </c>
      <c r="P311">
        <f t="shared" si="21"/>
        <v>381</v>
      </c>
      <c r="Q311">
        <f t="shared" ca="1" si="22"/>
        <v>500</v>
      </c>
      <c r="R311" t="str">
        <f t="shared" si="23"/>
        <v>Normal</v>
      </c>
      <c r="S311">
        <f t="shared" si="24"/>
        <v>59484.475099390998</v>
      </c>
    </row>
    <row r="312" spans="1:19" x14ac:dyDescent="0.35">
      <c r="A312" t="s">
        <v>323</v>
      </c>
      <c r="B312" t="s">
        <v>823</v>
      </c>
      <c r="C312" t="s">
        <v>1014</v>
      </c>
      <c r="D312" t="s">
        <v>1021</v>
      </c>
      <c r="E312" s="6">
        <v>43949</v>
      </c>
      <c r="F312" s="6">
        <v>48661.49212154009</v>
      </c>
      <c r="G312" t="s">
        <v>1023</v>
      </c>
      <c r="H312" s="3">
        <v>45393</v>
      </c>
      <c r="I312" s="3">
        <v>45276</v>
      </c>
      <c r="J312" s="3">
        <v>45486</v>
      </c>
      <c r="K312" t="s">
        <v>1025</v>
      </c>
      <c r="L312">
        <v>59</v>
      </c>
      <c r="M312" s="6">
        <v>6117</v>
      </c>
      <c r="O312">
        <f t="shared" si="20"/>
        <v>1.107</v>
      </c>
      <c r="P312">
        <f t="shared" si="21"/>
        <v>210</v>
      </c>
      <c r="Q312">
        <f t="shared" ca="1" si="22"/>
        <v>570</v>
      </c>
      <c r="R312" t="str">
        <f t="shared" si="23"/>
        <v>Normal</v>
      </c>
      <c r="S312">
        <f t="shared" si="24"/>
        <v>48661.49212154009</v>
      </c>
    </row>
    <row r="313" spans="1:19" x14ac:dyDescent="0.35">
      <c r="A313" t="s">
        <v>324</v>
      </c>
      <c r="B313" t="s">
        <v>824</v>
      </c>
      <c r="C313" t="s">
        <v>1013</v>
      </c>
      <c r="D313" t="s">
        <v>1021</v>
      </c>
      <c r="E313" s="6">
        <v>94374</v>
      </c>
      <c r="F313" s="6">
        <v>27144.885066728821</v>
      </c>
      <c r="G313" t="s">
        <v>1023</v>
      </c>
      <c r="H313" s="3">
        <v>45581</v>
      </c>
      <c r="I313" s="3">
        <v>45131</v>
      </c>
      <c r="J313" s="3">
        <v>45443</v>
      </c>
      <c r="K313" t="s">
        <v>1025</v>
      </c>
      <c r="L313">
        <v>23</v>
      </c>
      <c r="M313" s="6">
        <v>10345</v>
      </c>
      <c r="O313">
        <f t="shared" si="20"/>
        <v>0.28799999999999998</v>
      </c>
      <c r="P313">
        <f t="shared" si="21"/>
        <v>312</v>
      </c>
      <c r="Q313">
        <f t="shared" ca="1" si="22"/>
        <v>382</v>
      </c>
      <c r="R313" t="str">
        <f t="shared" si="23"/>
        <v>High</v>
      </c>
      <c r="S313">
        <f t="shared" si="24"/>
        <v>27144.885066728821</v>
      </c>
    </row>
    <row r="314" spans="1:19" x14ac:dyDescent="0.35">
      <c r="A314" t="s">
        <v>325</v>
      </c>
      <c r="B314" t="s">
        <v>825</v>
      </c>
      <c r="C314" t="s">
        <v>1014</v>
      </c>
      <c r="D314" t="s">
        <v>1017</v>
      </c>
      <c r="E314" s="6">
        <v>4482</v>
      </c>
      <c r="F314" s="6">
        <v>77854.097872618979</v>
      </c>
      <c r="G314" t="s">
        <v>1023</v>
      </c>
      <c r="H314" s="3">
        <v>45358</v>
      </c>
      <c r="I314" s="3">
        <v>45216</v>
      </c>
      <c r="J314" s="3">
        <v>45554</v>
      </c>
      <c r="K314" t="s">
        <v>1026</v>
      </c>
      <c r="L314">
        <v>66</v>
      </c>
      <c r="M314" s="6">
        <v>13558</v>
      </c>
      <c r="O314">
        <f t="shared" si="20"/>
        <v>17.37</v>
      </c>
      <c r="P314">
        <f t="shared" si="21"/>
        <v>338</v>
      </c>
      <c r="Q314">
        <f t="shared" ca="1" si="22"/>
        <v>605</v>
      </c>
      <c r="R314" t="str">
        <f t="shared" si="23"/>
        <v>Normal</v>
      </c>
      <c r="S314">
        <f t="shared" si="24"/>
        <v>77854.097872618979</v>
      </c>
    </row>
    <row r="315" spans="1:19" x14ac:dyDescent="0.35">
      <c r="A315" t="s">
        <v>326</v>
      </c>
      <c r="B315" t="s">
        <v>826</v>
      </c>
      <c r="C315" t="s">
        <v>1013</v>
      </c>
      <c r="D315" t="s">
        <v>1020</v>
      </c>
      <c r="E315" s="6">
        <v>26442</v>
      </c>
      <c r="F315" s="6">
        <v>39550.276772707432</v>
      </c>
      <c r="G315" t="s">
        <v>1023</v>
      </c>
      <c r="H315" s="3">
        <v>45313</v>
      </c>
      <c r="I315" s="3">
        <v>45109</v>
      </c>
      <c r="J315" s="3">
        <v>45482</v>
      </c>
      <c r="K315" t="s">
        <v>1026</v>
      </c>
      <c r="L315">
        <v>50</v>
      </c>
      <c r="M315" s="6">
        <v>14506</v>
      </c>
      <c r="O315">
        <f t="shared" si="20"/>
        <v>1.496</v>
      </c>
      <c r="P315">
        <f t="shared" si="21"/>
        <v>373</v>
      </c>
      <c r="Q315">
        <f t="shared" ca="1" si="22"/>
        <v>650</v>
      </c>
      <c r="R315" t="str">
        <f t="shared" si="23"/>
        <v>Normal</v>
      </c>
      <c r="S315">
        <f t="shared" si="24"/>
        <v>39550.276772707432</v>
      </c>
    </row>
    <row r="316" spans="1:19" x14ac:dyDescent="0.35">
      <c r="A316" t="s">
        <v>327</v>
      </c>
      <c r="B316" t="s">
        <v>827</v>
      </c>
      <c r="C316" t="s">
        <v>1013</v>
      </c>
      <c r="D316" t="s">
        <v>1021</v>
      </c>
      <c r="E316" s="6">
        <v>35719</v>
      </c>
      <c r="F316" s="6">
        <v>12812.12452193311</v>
      </c>
      <c r="G316" t="s">
        <v>1022</v>
      </c>
      <c r="H316" s="3">
        <v>45471</v>
      </c>
      <c r="I316" s="3">
        <v>45285</v>
      </c>
      <c r="J316" s="3">
        <v>45314</v>
      </c>
      <c r="K316" t="s">
        <v>1026</v>
      </c>
      <c r="L316">
        <v>47</v>
      </c>
      <c r="M316" s="6">
        <v>14956</v>
      </c>
      <c r="O316">
        <f t="shared" si="20"/>
        <v>0.35899999999999999</v>
      </c>
      <c r="P316">
        <f t="shared" si="21"/>
        <v>29</v>
      </c>
      <c r="Q316">
        <f t="shared" ca="1" si="22"/>
        <v>492</v>
      </c>
      <c r="R316" t="str">
        <f t="shared" si="23"/>
        <v>Normal</v>
      </c>
      <c r="S316">
        <f t="shared" si="24"/>
        <v>12812.12452193311</v>
      </c>
    </row>
    <row r="317" spans="1:19" x14ac:dyDescent="0.35">
      <c r="A317" t="s">
        <v>328</v>
      </c>
      <c r="B317" t="s">
        <v>828</v>
      </c>
      <c r="C317" t="s">
        <v>1014</v>
      </c>
      <c r="D317" t="s">
        <v>1021</v>
      </c>
      <c r="E317" s="6">
        <v>60066</v>
      </c>
      <c r="F317" s="6">
        <v>48780.704442783514</v>
      </c>
      <c r="G317" t="s">
        <v>1022</v>
      </c>
      <c r="H317" s="3">
        <v>45387</v>
      </c>
      <c r="I317" s="3">
        <v>45276</v>
      </c>
      <c r="J317" s="3">
        <v>45642</v>
      </c>
      <c r="K317" t="s">
        <v>1026</v>
      </c>
      <c r="L317">
        <v>30</v>
      </c>
      <c r="M317" s="6">
        <v>3518</v>
      </c>
      <c r="O317">
        <f t="shared" si="20"/>
        <v>0.81200000000000006</v>
      </c>
      <c r="P317">
        <f t="shared" si="21"/>
        <v>366</v>
      </c>
      <c r="Q317">
        <f t="shared" ca="1" si="22"/>
        <v>576</v>
      </c>
      <c r="R317" t="str">
        <f t="shared" si="23"/>
        <v>High</v>
      </c>
      <c r="S317">
        <f t="shared" si="24"/>
        <v>48780.704442783514</v>
      </c>
    </row>
    <row r="318" spans="1:19" x14ac:dyDescent="0.35">
      <c r="A318" t="s">
        <v>329</v>
      </c>
      <c r="B318" t="s">
        <v>829</v>
      </c>
      <c r="C318" t="s">
        <v>1013</v>
      </c>
      <c r="D318" t="s">
        <v>1020</v>
      </c>
      <c r="E318" s="6">
        <v>95501</v>
      </c>
      <c r="F318" s="6">
        <v>0</v>
      </c>
      <c r="G318" t="s">
        <v>1023</v>
      </c>
      <c r="H318" s="3">
        <v>45373</v>
      </c>
      <c r="I318" s="3">
        <v>45053</v>
      </c>
      <c r="J318" s="3">
        <v>45606</v>
      </c>
      <c r="K318" t="s">
        <v>1025</v>
      </c>
      <c r="L318">
        <v>62</v>
      </c>
      <c r="M318" s="6">
        <v>8163</v>
      </c>
      <c r="O318">
        <f t="shared" si="20"/>
        <v>0</v>
      </c>
      <c r="P318">
        <f t="shared" si="21"/>
        <v>553</v>
      </c>
      <c r="Q318">
        <f t="shared" ca="1" si="22"/>
        <v>590</v>
      </c>
      <c r="R318" t="str">
        <f t="shared" si="23"/>
        <v>High</v>
      </c>
      <c r="S318">
        <f t="shared" si="24"/>
        <v>0</v>
      </c>
    </row>
    <row r="319" spans="1:19" x14ac:dyDescent="0.35">
      <c r="A319" t="s">
        <v>330</v>
      </c>
      <c r="B319" t="s">
        <v>830</v>
      </c>
      <c r="C319" t="s">
        <v>1015</v>
      </c>
      <c r="D319" t="s">
        <v>1020</v>
      </c>
      <c r="E319" s="6">
        <v>4079</v>
      </c>
      <c r="F319" s="6">
        <v>67270.165230092724</v>
      </c>
      <c r="G319" t="s">
        <v>1024</v>
      </c>
      <c r="H319" s="3">
        <v>45479</v>
      </c>
      <c r="I319" s="3">
        <v>45128</v>
      </c>
      <c r="J319" s="3">
        <v>45333</v>
      </c>
      <c r="K319" t="s">
        <v>1026</v>
      </c>
      <c r="L319">
        <v>20</v>
      </c>
      <c r="M319" s="6">
        <v>4600</v>
      </c>
      <c r="O319">
        <f t="shared" si="20"/>
        <v>16.492000000000001</v>
      </c>
      <c r="P319">
        <f t="shared" si="21"/>
        <v>205</v>
      </c>
      <c r="Q319">
        <f t="shared" ca="1" si="22"/>
        <v>484</v>
      </c>
      <c r="R319" t="str">
        <f t="shared" si="23"/>
        <v>Normal</v>
      </c>
      <c r="S319">
        <f t="shared" si="24"/>
        <v>0</v>
      </c>
    </row>
    <row r="320" spans="1:19" x14ac:dyDescent="0.35">
      <c r="A320" t="s">
        <v>331</v>
      </c>
      <c r="B320" t="s">
        <v>831</v>
      </c>
      <c r="C320" t="s">
        <v>1013</v>
      </c>
      <c r="D320" t="s">
        <v>1021</v>
      </c>
      <c r="E320" s="6">
        <v>4717</v>
      </c>
      <c r="F320" s="6">
        <v>23997.61296248341</v>
      </c>
      <c r="G320" t="s">
        <v>1023</v>
      </c>
      <c r="H320" s="3">
        <v>45404</v>
      </c>
      <c r="I320" s="3">
        <v>44992</v>
      </c>
      <c r="J320" s="3">
        <v>45491</v>
      </c>
      <c r="K320" t="s">
        <v>1026</v>
      </c>
      <c r="L320">
        <v>68</v>
      </c>
      <c r="M320" s="6">
        <v>4195</v>
      </c>
      <c r="O320">
        <f t="shared" si="20"/>
        <v>5.0869999999999997</v>
      </c>
      <c r="P320">
        <f t="shared" si="21"/>
        <v>499</v>
      </c>
      <c r="Q320">
        <f t="shared" ca="1" si="22"/>
        <v>559</v>
      </c>
      <c r="R320" t="str">
        <f t="shared" si="23"/>
        <v>Normal</v>
      </c>
      <c r="S320">
        <f t="shared" si="24"/>
        <v>23997.61296248341</v>
      </c>
    </row>
    <row r="321" spans="1:19" x14ac:dyDescent="0.35">
      <c r="A321" t="s">
        <v>332</v>
      </c>
      <c r="B321" t="s">
        <v>832</v>
      </c>
      <c r="C321" t="s">
        <v>1016</v>
      </c>
      <c r="D321" t="s">
        <v>1020</v>
      </c>
      <c r="E321" s="6">
        <v>61676</v>
      </c>
      <c r="F321" s="6">
        <v>4670.7863710923666</v>
      </c>
      <c r="G321" t="s">
        <v>1024</v>
      </c>
      <c r="H321" s="3">
        <v>45579</v>
      </c>
      <c r="I321" s="3">
        <v>45093</v>
      </c>
      <c r="J321" s="3">
        <v>45333</v>
      </c>
      <c r="K321" t="s">
        <v>1025</v>
      </c>
      <c r="L321">
        <v>66</v>
      </c>
      <c r="M321" s="6">
        <v>14690</v>
      </c>
      <c r="O321">
        <f t="shared" si="20"/>
        <v>7.5999999999999998E-2</v>
      </c>
      <c r="P321">
        <f t="shared" si="21"/>
        <v>240</v>
      </c>
      <c r="Q321">
        <f t="shared" ca="1" si="22"/>
        <v>384</v>
      </c>
      <c r="R321" t="str">
        <f t="shared" si="23"/>
        <v>High</v>
      </c>
      <c r="S321">
        <f t="shared" si="24"/>
        <v>0</v>
      </c>
    </row>
    <row r="322" spans="1:19" x14ac:dyDescent="0.35">
      <c r="A322" t="s">
        <v>333</v>
      </c>
      <c r="B322" t="s">
        <v>833</v>
      </c>
      <c r="C322" t="s">
        <v>1014</v>
      </c>
      <c r="D322" t="s">
        <v>1021</v>
      </c>
      <c r="E322" s="6">
        <v>29952</v>
      </c>
      <c r="F322" s="6">
        <v>69162.940581533025</v>
      </c>
      <c r="G322" t="s">
        <v>1023</v>
      </c>
      <c r="H322" s="3">
        <v>45464</v>
      </c>
      <c r="I322" s="3">
        <v>45145</v>
      </c>
      <c r="J322" s="3">
        <v>45641</v>
      </c>
      <c r="K322" t="s">
        <v>1025</v>
      </c>
      <c r="L322">
        <v>57</v>
      </c>
      <c r="M322" s="6">
        <v>14883</v>
      </c>
      <c r="O322">
        <f t="shared" si="20"/>
        <v>2.3090000000000002</v>
      </c>
      <c r="P322">
        <f t="shared" si="21"/>
        <v>496</v>
      </c>
      <c r="Q322">
        <f t="shared" ca="1" si="22"/>
        <v>499</v>
      </c>
      <c r="R322" t="str">
        <f t="shared" si="23"/>
        <v>Normal</v>
      </c>
      <c r="S322">
        <f t="shared" si="24"/>
        <v>69162.940581533025</v>
      </c>
    </row>
    <row r="323" spans="1:19" x14ac:dyDescent="0.35">
      <c r="A323" t="s">
        <v>334</v>
      </c>
      <c r="B323" t="s">
        <v>834</v>
      </c>
      <c r="C323" t="s">
        <v>1015</v>
      </c>
      <c r="D323" t="s">
        <v>1021</v>
      </c>
      <c r="E323" s="6">
        <v>88444</v>
      </c>
      <c r="F323" s="6">
        <v>8255.0542247517296</v>
      </c>
      <c r="G323" t="s">
        <v>1023</v>
      </c>
      <c r="H323" s="3">
        <v>45472</v>
      </c>
      <c r="I323" s="3">
        <v>45064</v>
      </c>
      <c r="J323" s="3">
        <v>45428</v>
      </c>
      <c r="K323" t="s">
        <v>1025</v>
      </c>
      <c r="L323">
        <v>43</v>
      </c>
      <c r="M323" s="6">
        <v>5554</v>
      </c>
      <c r="O323">
        <f t="shared" ref="O323:O386" si="25">IF(E323=0, 0, ROUND(F323 / E323, 3))</f>
        <v>9.2999999999999999E-2</v>
      </c>
      <c r="P323">
        <f t="shared" ref="P323:P386" si="26">IF(AND(ISNUMBER(I323), ISNUMBER(J323)), DATEDIF(I323, J323, "D"), "")</f>
        <v>364</v>
      </c>
      <c r="Q323">
        <f t="shared" ref="Q323:Q386" ca="1" si="27">IF(ISNUMBER(H323), TODAY() - H323, "")</f>
        <v>491</v>
      </c>
      <c r="R323" t="str">
        <f t="shared" ref="R323:R386" si="28">IF(E323&gt;50000, "High","Normal")</f>
        <v>High</v>
      </c>
      <c r="S323">
        <f t="shared" ref="S323:S386" si="29">IF(G323="Rejected", 0, F323)</f>
        <v>8255.0542247517296</v>
      </c>
    </row>
    <row r="324" spans="1:19" x14ac:dyDescent="0.35">
      <c r="A324" t="s">
        <v>335</v>
      </c>
      <c r="B324" t="s">
        <v>835</v>
      </c>
      <c r="C324" t="s">
        <v>1014</v>
      </c>
      <c r="D324" t="s">
        <v>1017</v>
      </c>
      <c r="E324" s="6">
        <v>44460</v>
      </c>
      <c r="F324" s="6">
        <v>49336.852623273538</v>
      </c>
      <c r="G324" t="s">
        <v>1023</v>
      </c>
      <c r="H324" s="3">
        <v>45344</v>
      </c>
      <c r="I324" s="3">
        <v>45081</v>
      </c>
      <c r="J324" s="3">
        <v>45487</v>
      </c>
      <c r="K324" t="s">
        <v>1025</v>
      </c>
      <c r="L324">
        <v>66</v>
      </c>
      <c r="M324" s="6">
        <v>12606</v>
      </c>
      <c r="O324">
        <f t="shared" si="25"/>
        <v>1.1100000000000001</v>
      </c>
      <c r="P324">
        <f t="shared" si="26"/>
        <v>406</v>
      </c>
      <c r="Q324">
        <f t="shared" ca="1" si="27"/>
        <v>619</v>
      </c>
      <c r="R324" t="str">
        <f t="shared" si="28"/>
        <v>Normal</v>
      </c>
      <c r="S324">
        <f t="shared" si="29"/>
        <v>49336.852623273538</v>
      </c>
    </row>
    <row r="325" spans="1:19" x14ac:dyDescent="0.35">
      <c r="A325" t="s">
        <v>336</v>
      </c>
      <c r="B325" t="s">
        <v>836</v>
      </c>
      <c r="C325" t="s">
        <v>1016</v>
      </c>
      <c r="D325" t="s">
        <v>1018</v>
      </c>
      <c r="E325" s="6">
        <v>92397</v>
      </c>
      <c r="F325" s="6">
        <v>0</v>
      </c>
      <c r="G325" t="s">
        <v>1022</v>
      </c>
      <c r="H325" s="3">
        <v>45363</v>
      </c>
      <c r="I325" s="3">
        <v>45235</v>
      </c>
      <c r="J325" s="3">
        <v>45549</v>
      </c>
      <c r="K325" t="s">
        <v>1026</v>
      </c>
      <c r="L325">
        <v>50</v>
      </c>
      <c r="M325" s="6">
        <v>4849</v>
      </c>
      <c r="O325">
        <f t="shared" si="25"/>
        <v>0</v>
      </c>
      <c r="P325">
        <f t="shared" si="26"/>
        <v>314</v>
      </c>
      <c r="Q325">
        <f t="shared" ca="1" si="27"/>
        <v>600</v>
      </c>
      <c r="R325" t="str">
        <f t="shared" si="28"/>
        <v>High</v>
      </c>
      <c r="S325">
        <f t="shared" si="29"/>
        <v>0</v>
      </c>
    </row>
    <row r="326" spans="1:19" x14ac:dyDescent="0.35">
      <c r="A326" t="s">
        <v>337</v>
      </c>
      <c r="B326" t="s">
        <v>837</v>
      </c>
      <c r="C326" t="s">
        <v>1016</v>
      </c>
      <c r="D326" t="s">
        <v>1021</v>
      </c>
      <c r="E326" s="6">
        <v>74847</v>
      </c>
      <c r="F326" s="6">
        <v>26353.75406370038</v>
      </c>
      <c r="G326" t="s">
        <v>1023</v>
      </c>
      <c r="H326" s="3">
        <v>45431</v>
      </c>
      <c r="I326" s="3">
        <v>45264</v>
      </c>
      <c r="J326" s="3">
        <v>45353</v>
      </c>
      <c r="K326" t="s">
        <v>1026</v>
      </c>
      <c r="L326">
        <v>60</v>
      </c>
      <c r="M326" s="6">
        <v>3742</v>
      </c>
      <c r="O326">
        <f t="shared" si="25"/>
        <v>0.35199999999999998</v>
      </c>
      <c r="P326">
        <f t="shared" si="26"/>
        <v>89</v>
      </c>
      <c r="Q326">
        <f t="shared" ca="1" si="27"/>
        <v>532</v>
      </c>
      <c r="R326" t="str">
        <f t="shared" si="28"/>
        <v>High</v>
      </c>
      <c r="S326">
        <f t="shared" si="29"/>
        <v>26353.75406370038</v>
      </c>
    </row>
    <row r="327" spans="1:19" x14ac:dyDescent="0.35">
      <c r="A327" t="s">
        <v>338</v>
      </c>
      <c r="B327" t="s">
        <v>838</v>
      </c>
      <c r="C327" t="s">
        <v>1016</v>
      </c>
      <c r="D327" t="s">
        <v>1019</v>
      </c>
      <c r="E327" s="6">
        <v>95607</v>
      </c>
      <c r="F327" s="6">
        <v>7929.1312918005988</v>
      </c>
      <c r="G327" t="s">
        <v>1023</v>
      </c>
      <c r="H327" s="3">
        <v>45483</v>
      </c>
      <c r="I327" s="3">
        <v>45068</v>
      </c>
      <c r="J327" s="3">
        <v>45475</v>
      </c>
      <c r="K327" t="s">
        <v>1025</v>
      </c>
      <c r="L327">
        <v>65</v>
      </c>
      <c r="M327" s="6">
        <v>3306</v>
      </c>
      <c r="O327">
        <f t="shared" si="25"/>
        <v>8.3000000000000004E-2</v>
      </c>
      <c r="P327">
        <f t="shared" si="26"/>
        <v>407</v>
      </c>
      <c r="Q327">
        <f t="shared" ca="1" si="27"/>
        <v>480</v>
      </c>
      <c r="R327" t="str">
        <f t="shared" si="28"/>
        <v>High</v>
      </c>
      <c r="S327">
        <f t="shared" si="29"/>
        <v>7929.1312918005988</v>
      </c>
    </row>
    <row r="328" spans="1:19" x14ac:dyDescent="0.35">
      <c r="A328" t="s">
        <v>339</v>
      </c>
      <c r="B328" t="s">
        <v>839</v>
      </c>
      <c r="C328" t="s">
        <v>1013</v>
      </c>
      <c r="D328" t="s">
        <v>1018</v>
      </c>
      <c r="E328" s="6">
        <v>91106</v>
      </c>
      <c r="F328" s="6">
        <v>35600.289017533119</v>
      </c>
      <c r="G328" t="s">
        <v>1023</v>
      </c>
      <c r="H328" s="3">
        <v>45306</v>
      </c>
      <c r="I328" s="3">
        <v>45088</v>
      </c>
      <c r="J328" s="3">
        <v>45545</v>
      </c>
      <c r="K328" t="s">
        <v>1025</v>
      </c>
      <c r="L328">
        <v>69</v>
      </c>
      <c r="M328" s="6">
        <v>5849</v>
      </c>
      <c r="O328">
        <f t="shared" si="25"/>
        <v>0.39100000000000001</v>
      </c>
      <c r="P328">
        <f t="shared" si="26"/>
        <v>457</v>
      </c>
      <c r="Q328">
        <f t="shared" ca="1" si="27"/>
        <v>657</v>
      </c>
      <c r="R328" t="str">
        <f t="shared" si="28"/>
        <v>High</v>
      </c>
      <c r="S328">
        <f t="shared" si="29"/>
        <v>35600.289017533119</v>
      </c>
    </row>
    <row r="329" spans="1:19" x14ac:dyDescent="0.35">
      <c r="A329" t="s">
        <v>340</v>
      </c>
      <c r="B329" t="s">
        <v>840</v>
      </c>
      <c r="C329" t="s">
        <v>1013</v>
      </c>
      <c r="D329" t="s">
        <v>1018</v>
      </c>
      <c r="E329" s="6">
        <v>20449</v>
      </c>
      <c r="F329" s="6">
        <v>68547.471307743588</v>
      </c>
      <c r="G329" t="s">
        <v>1023</v>
      </c>
      <c r="H329" s="3">
        <v>45534</v>
      </c>
      <c r="I329" s="3">
        <v>45247</v>
      </c>
      <c r="J329" s="3">
        <v>45546</v>
      </c>
      <c r="K329" t="s">
        <v>1025</v>
      </c>
      <c r="L329">
        <v>45</v>
      </c>
      <c r="M329" s="6">
        <v>14360</v>
      </c>
      <c r="O329">
        <f t="shared" si="25"/>
        <v>3.3519999999999999</v>
      </c>
      <c r="P329">
        <f t="shared" si="26"/>
        <v>299</v>
      </c>
      <c r="Q329">
        <f t="shared" ca="1" si="27"/>
        <v>429</v>
      </c>
      <c r="R329" t="str">
        <f t="shared" si="28"/>
        <v>Normal</v>
      </c>
      <c r="S329">
        <f t="shared" si="29"/>
        <v>68547.471307743588</v>
      </c>
    </row>
    <row r="330" spans="1:19" x14ac:dyDescent="0.35">
      <c r="A330" t="s">
        <v>341</v>
      </c>
      <c r="B330" t="s">
        <v>841</v>
      </c>
      <c r="C330" t="s">
        <v>1014</v>
      </c>
      <c r="D330" t="s">
        <v>1018</v>
      </c>
      <c r="E330" s="6">
        <v>35536</v>
      </c>
      <c r="F330" s="6">
        <v>49417.098375808077</v>
      </c>
      <c r="G330" t="s">
        <v>1023</v>
      </c>
      <c r="H330" s="3">
        <v>45455</v>
      </c>
      <c r="I330" s="3">
        <v>45072</v>
      </c>
      <c r="J330" s="3">
        <v>45336</v>
      </c>
      <c r="K330" t="s">
        <v>1026</v>
      </c>
      <c r="L330">
        <v>68</v>
      </c>
      <c r="M330" s="6">
        <v>14768</v>
      </c>
      <c r="O330">
        <f t="shared" si="25"/>
        <v>1.391</v>
      </c>
      <c r="P330">
        <f t="shared" si="26"/>
        <v>264</v>
      </c>
      <c r="Q330">
        <f t="shared" ca="1" si="27"/>
        <v>508</v>
      </c>
      <c r="R330" t="str">
        <f t="shared" si="28"/>
        <v>Normal</v>
      </c>
      <c r="S330">
        <f t="shared" si="29"/>
        <v>49417.098375808077</v>
      </c>
    </row>
    <row r="331" spans="1:19" x14ac:dyDescent="0.35">
      <c r="A331" t="s">
        <v>342</v>
      </c>
      <c r="B331" t="s">
        <v>842</v>
      </c>
      <c r="C331" t="s">
        <v>1014</v>
      </c>
      <c r="D331" t="s">
        <v>1017</v>
      </c>
      <c r="E331" s="6">
        <v>66077</v>
      </c>
      <c r="F331" s="6">
        <v>62229.802403086818</v>
      </c>
      <c r="G331" t="s">
        <v>1022</v>
      </c>
      <c r="H331" s="3">
        <v>45354</v>
      </c>
      <c r="I331" s="3">
        <v>45089</v>
      </c>
      <c r="J331" s="3">
        <v>45526</v>
      </c>
      <c r="K331" t="s">
        <v>1026</v>
      </c>
      <c r="L331">
        <v>69</v>
      </c>
      <c r="M331" s="6">
        <v>9519</v>
      </c>
      <c r="O331">
        <f t="shared" si="25"/>
        <v>0.94199999999999995</v>
      </c>
      <c r="P331">
        <f t="shared" si="26"/>
        <v>437</v>
      </c>
      <c r="Q331">
        <f t="shared" ca="1" si="27"/>
        <v>609</v>
      </c>
      <c r="R331" t="str">
        <f t="shared" si="28"/>
        <v>High</v>
      </c>
      <c r="S331">
        <f t="shared" si="29"/>
        <v>62229.802403086818</v>
      </c>
    </row>
    <row r="332" spans="1:19" x14ac:dyDescent="0.35">
      <c r="A332" t="s">
        <v>343</v>
      </c>
      <c r="B332" t="s">
        <v>843</v>
      </c>
      <c r="C332" t="s">
        <v>1015</v>
      </c>
      <c r="D332" t="s">
        <v>1021</v>
      </c>
      <c r="E332" s="6">
        <v>40258</v>
      </c>
      <c r="F332" s="6">
        <v>10442.502167503129</v>
      </c>
      <c r="G332" t="s">
        <v>1022</v>
      </c>
      <c r="H332" s="3">
        <v>45462</v>
      </c>
      <c r="I332" s="3">
        <v>45010</v>
      </c>
      <c r="J332" s="3">
        <v>45645</v>
      </c>
      <c r="K332" t="s">
        <v>1025</v>
      </c>
      <c r="L332">
        <v>24</v>
      </c>
      <c r="M332" s="6">
        <v>14847</v>
      </c>
      <c r="O332">
        <f t="shared" si="25"/>
        <v>0.25900000000000001</v>
      </c>
      <c r="P332">
        <f t="shared" si="26"/>
        <v>635</v>
      </c>
      <c r="Q332">
        <f t="shared" ca="1" si="27"/>
        <v>501</v>
      </c>
      <c r="R332" t="str">
        <f t="shared" si="28"/>
        <v>Normal</v>
      </c>
      <c r="S332">
        <f t="shared" si="29"/>
        <v>10442.502167503129</v>
      </c>
    </row>
    <row r="333" spans="1:19" x14ac:dyDescent="0.35">
      <c r="A333" t="s">
        <v>344</v>
      </c>
      <c r="B333" t="s">
        <v>844</v>
      </c>
      <c r="C333" t="s">
        <v>1015</v>
      </c>
      <c r="D333" t="s">
        <v>1017</v>
      </c>
      <c r="E333" s="6">
        <v>50302</v>
      </c>
      <c r="F333" s="6">
        <v>19031.6875941658</v>
      </c>
      <c r="G333" t="s">
        <v>1023</v>
      </c>
      <c r="H333" s="3">
        <v>45486</v>
      </c>
      <c r="I333" s="3">
        <v>45151</v>
      </c>
      <c r="J333" s="3">
        <v>45369</v>
      </c>
      <c r="K333" t="s">
        <v>1025</v>
      </c>
      <c r="L333">
        <v>39</v>
      </c>
      <c r="M333" s="6">
        <v>6195</v>
      </c>
      <c r="O333">
        <f t="shared" si="25"/>
        <v>0.378</v>
      </c>
      <c r="P333">
        <f t="shared" si="26"/>
        <v>218</v>
      </c>
      <c r="Q333">
        <f t="shared" ca="1" si="27"/>
        <v>477</v>
      </c>
      <c r="R333" t="str">
        <f t="shared" si="28"/>
        <v>High</v>
      </c>
      <c r="S333">
        <f t="shared" si="29"/>
        <v>19031.6875941658</v>
      </c>
    </row>
    <row r="334" spans="1:19" x14ac:dyDescent="0.35">
      <c r="A334" t="s">
        <v>345</v>
      </c>
      <c r="B334" t="s">
        <v>845</v>
      </c>
      <c r="C334" t="s">
        <v>1014</v>
      </c>
      <c r="D334" t="s">
        <v>1021</v>
      </c>
      <c r="E334" s="6">
        <v>30865</v>
      </c>
      <c r="F334" s="6">
        <v>63014.127503659838</v>
      </c>
      <c r="G334" t="s">
        <v>1022</v>
      </c>
      <c r="H334" s="3">
        <v>45390</v>
      </c>
      <c r="I334" s="3">
        <v>45265</v>
      </c>
      <c r="J334" s="3">
        <v>45623</v>
      </c>
      <c r="K334" t="s">
        <v>1026</v>
      </c>
      <c r="L334">
        <v>60</v>
      </c>
      <c r="M334" s="6">
        <v>7178</v>
      </c>
      <c r="O334">
        <f t="shared" si="25"/>
        <v>2.0419999999999998</v>
      </c>
      <c r="P334">
        <f t="shared" si="26"/>
        <v>358</v>
      </c>
      <c r="Q334">
        <f t="shared" ca="1" si="27"/>
        <v>573</v>
      </c>
      <c r="R334" t="str">
        <f t="shared" si="28"/>
        <v>Normal</v>
      </c>
      <c r="S334">
        <f t="shared" si="29"/>
        <v>63014.127503659838</v>
      </c>
    </row>
    <row r="335" spans="1:19" x14ac:dyDescent="0.35">
      <c r="A335" t="s">
        <v>346</v>
      </c>
      <c r="B335" t="s">
        <v>846</v>
      </c>
      <c r="C335" t="s">
        <v>1013</v>
      </c>
      <c r="D335" t="s">
        <v>1017</v>
      </c>
      <c r="E335" s="6">
        <v>8645</v>
      </c>
      <c r="F335" s="6">
        <v>36317.48520620061</v>
      </c>
      <c r="G335" t="s">
        <v>1023</v>
      </c>
      <c r="H335" s="3">
        <v>45519</v>
      </c>
      <c r="I335" s="3">
        <v>45288</v>
      </c>
      <c r="J335" s="3">
        <v>45404</v>
      </c>
      <c r="K335" t="s">
        <v>1025</v>
      </c>
      <c r="L335">
        <v>30</v>
      </c>
      <c r="M335" s="6">
        <v>4555</v>
      </c>
      <c r="O335">
        <f t="shared" si="25"/>
        <v>4.2009999999999996</v>
      </c>
      <c r="P335">
        <f t="shared" si="26"/>
        <v>116</v>
      </c>
      <c r="Q335">
        <f t="shared" ca="1" si="27"/>
        <v>444</v>
      </c>
      <c r="R335" t="str">
        <f t="shared" si="28"/>
        <v>Normal</v>
      </c>
      <c r="S335">
        <f t="shared" si="29"/>
        <v>36317.48520620061</v>
      </c>
    </row>
    <row r="336" spans="1:19" x14ac:dyDescent="0.35">
      <c r="A336" t="s">
        <v>347</v>
      </c>
      <c r="B336" t="s">
        <v>847</v>
      </c>
      <c r="C336" t="s">
        <v>1016</v>
      </c>
      <c r="D336" t="s">
        <v>1017</v>
      </c>
      <c r="E336" s="6">
        <v>40000</v>
      </c>
      <c r="F336" s="6">
        <v>24418.774715308002</v>
      </c>
      <c r="G336" t="s">
        <v>1022</v>
      </c>
      <c r="H336" s="3">
        <v>45566</v>
      </c>
      <c r="I336" s="3">
        <v>45016</v>
      </c>
      <c r="J336" s="3">
        <v>45325</v>
      </c>
      <c r="K336" t="s">
        <v>1025</v>
      </c>
      <c r="L336">
        <v>52</v>
      </c>
      <c r="M336" s="6">
        <v>4305</v>
      </c>
      <c r="O336">
        <f t="shared" si="25"/>
        <v>0.61</v>
      </c>
      <c r="P336">
        <f t="shared" si="26"/>
        <v>309</v>
      </c>
      <c r="Q336">
        <f t="shared" ca="1" si="27"/>
        <v>397</v>
      </c>
      <c r="R336" t="str">
        <f t="shared" si="28"/>
        <v>Normal</v>
      </c>
      <c r="S336">
        <f t="shared" si="29"/>
        <v>24418.774715308002</v>
      </c>
    </row>
    <row r="337" spans="1:19" x14ac:dyDescent="0.35">
      <c r="A337" t="s">
        <v>348</v>
      </c>
      <c r="B337" t="s">
        <v>848</v>
      </c>
      <c r="C337" t="s">
        <v>1014</v>
      </c>
      <c r="D337" t="s">
        <v>1019</v>
      </c>
      <c r="E337" s="6">
        <v>28737</v>
      </c>
      <c r="F337" s="6">
        <v>26911.129709114579</v>
      </c>
      <c r="G337" t="s">
        <v>1022</v>
      </c>
      <c r="H337" s="3">
        <v>45339</v>
      </c>
      <c r="I337" s="3">
        <v>44954</v>
      </c>
      <c r="J337" s="3">
        <v>45332</v>
      </c>
      <c r="K337" t="s">
        <v>1026</v>
      </c>
      <c r="L337">
        <v>69</v>
      </c>
      <c r="M337" s="6">
        <v>14700</v>
      </c>
      <c r="O337">
        <f t="shared" si="25"/>
        <v>0.93600000000000005</v>
      </c>
      <c r="P337">
        <f t="shared" si="26"/>
        <v>378</v>
      </c>
      <c r="Q337">
        <f t="shared" ca="1" si="27"/>
        <v>624</v>
      </c>
      <c r="R337" t="str">
        <f t="shared" si="28"/>
        <v>Normal</v>
      </c>
      <c r="S337">
        <f t="shared" si="29"/>
        <v>26911.129709114579</v>
      </c>
    </row>
    <row r="338" spans="1:19" x14ac:dyDescent="0.35">
      <c r="A338" t="s">
        <v>349</v>
      </c>
      <c r="B338" t="s">
        <v>849</v>
      </c>
      <c r="C338" t="s">
        <v>1015</v>
      </c>
      <c r="D338" t="s">
        <v>1017</v>
      </c>
      <c r="E338" s="6">
        <v>13485</v>
      </c>
      <c r="F338" s="6">
        <v>20266.329832153038</v>
      </c>
      <c r="G338" t="s">
        <v>1023</v>
      </c>
      <c r="H338" s="3">
        <v>45308</v>
      </c>
      <c r="I338" s="3">
        <v>44953</v>
      </c>
      <c r="J338" s="3">
        <v>45595</v>
      </c>
      <c r="K338" t="s">
        <v>1025</v>
      </c>
      <c r="L338">
        <v>57</v>
      </c>
      <c r="M338" s="6">
        <v>9619</v>
      </c>
      <c r="O338">
        <f t="shared" si="25"/>
        <v>1.5029999999999999</v>
      </c>
      <c r="P338">
        <f t="shared" si="26"/>
        <v>642</v>
      </c>
      <c r="Q338">
        <f t="shared" ca="1" si="27"/>
        <v>655</v>
      </c>
      <c r="R338" t="str">
        <f t="shared" si="28"/>
        <v>Normal</v>
      </c>
      <c r="S338">
        <f t="shared" si="29"/>
        <v>20266.329832153038</v>
      </c>
    </row>
    <row r="339" spans="1:19" x14ac:dyDescent="0.35">
      <c r="A339" t="s">
        <v>350</v>
      </c>
      <c r="B339" t="s">
        <v>850</v>
      </c>
      <c r="C339" t="s">
        <v>1013</v>
      </c>
      <c r="D339" t="s">
        <v>1020</v>
      </c>
      <c r="E339" s="6">
        <v>40565</v>
      </c>
      <c r="F339" s="6">
        <v>22630.661770839972</v>
      </c>
      <c r="G339" t="s">
        <v>1022</v>
      </c>
      <c r="H339" s="3">
        <v>45428</v>
      </c>
      <c r="I339" s="3">
        <v>45182</v>
      </c>
      <c r="J339" s="3">
        <v>45456</v>
      </c>
      <c r="K339" t="s">
        <v>1026</v>
      </c>
      <c r="L339">
        <v>46</v>
      </c>
      <c r="M339" s="6">
        <v>11280</v>
      </c>
      <c r="O339">
        <f t="shared" si="25"/>
        <v>0.55800000000000005</v>
      </c>
      <c r="P339">
        <f t="shared" si="26"/>
        <v>274</v>
      </c>
      <c r="Q339">
        <f t="shared" ca="1" si="27"/>
        <v>535</v>
      </c>
      <c r="R339" t="str">
        <f t="shared" si="28"/>
        <v>Normal</v>
      </c>
      <c r="S339">
        <f t="shared" si="29"/>
        <v>22630.661770839972</v>
      </c>
    </row>
    <row r="340" spans="1:19" x14ac:dyDescent="0.35">
      <c r="A340" t="s">
        <v>351</v>
      </c>
      <c r="B340" t="s">
        <v>851</v>
      </c>
      <c r="C340" t="s">
        <v>1014</v>
      </c>
      <c r="D340" t="s">
        <v>1019</v>
      </c>
      <c r="E340" s="6">
        <v>27522</v>
      </c>
      <c r="F340" s="6">
        <v>46155.558743164547</v>
      </c>
      <c r="G340" t="s">
        <v>1023</v>
      </c>
      <c r="H340" s="3">
        <v>45399</v>
      </c>
      <c r="I340" s="3">
        <v>45194</v>
      </c>
      <c r="J340" s="3">
        <v>45501</v>
      </c>
      <c r="K340" t="s">
        <v>1025</v>
      </c>
      <c r="L340">
        <v>53</v>
      </c>
      <c r="M340" s="6">
        <v>4642</v>
      </c>
      <c r="O340">
        <f t="shared" si="25"/>
        <v>1.677</v>
      </c>
      <c r="P340">
        <f t="shared" si="26"/>
        <v>307</v>
      </c>
      <c r="Q340">
        <f t="shared" ca="1" si="27"/>
        <v>564</v>
      </c>
      <c r="R340" t="str">
        <f t="shared" si="28"/>
        <v>Normal</v>
      </c>
      <c r="S340">
        <f t="shared" si="29"/>
        <v>46155.558743164547</v>
      </c>
    </row>
    <row r="341" spans="1:19" x14ac:dyDescent="0.35">
      <c r="A341" t="s">
        <v>352</v>
      </c>
      <c r="B341" t="s">
        <v>852</v>
      </c>
      <c r="C341" t="s">
        <v>1014</v>
      </c>
      <c r="D341" t="s">
        <v>1017</v>
      </c>
      <c r="E341" s="6">
        <v>67155</v>
      </c>
      <c r="F341" s="6">
        <v>0</v>
      </c>
      <c r="G341" t="s">
        <v>1023</v>
      </c>
      <c r="H341" s="3">
        <v>45381</v>
      </c>
      <c r="I341" s="3">
        <v>44947</v>
      </c>
      <c r="J341" s="3">
        <v>45546</v>
      </c>
      <c r="K341" t="s">
        <v>1025</v>
      </c>
      <c r="L341">
        <v>34</v>
      </c>
      <c r="M341" s="6">
        <v>11369</v>
      </c>
      <c r="O341">
        <f t="shared" si="25"/>
        <v>0</v>
      </c>
      <c r="P341">
        <f t="shared" si="26"/>
        <v>599</v>
      </c>
      <c r="Q341">
        <f t="shared" ca="1" si="27"/>
        <v>582</v>
      </c>
      <c r="R341" t="str">
        <f t="shared" si="28"/>
        <v>High</v>
      </c>
      <c r="S341">
        <f t="shared" si="29"/>
        <v>0</v>
      </c>
    </row>
    <row r="342" spans="1:19" x14ac:dyDescent="0.35">
      <c r="A342" t="s">
        <v>353</v>
      </c>
      <c r="B342" t="s">
        <v>853</v>
      </c>
      <c r="C342" t="s">
        <v>1013</v>
      </c>
      <c r="D342" t="s">
        <v>1018</v>
      </c>
      <c r="E342" s="6">
        <v>57168</v>
      </c>
      <c r="F342" s="6">
        <v>72445.094987122022</v>
      </c>
      <c r="G342" t="s">
        <v>1022</v>
      </c>
      <c r="H342" s="3">
        <v>45473</v>
      </c>
      <c r="I342" s="3">
        <v>45194</v>
      </c>
      <c r="J342" s="3">
        <v>45450</v>
      </c>
      <c r="K342" t="s">
        <v>1026</v>
      </c>
      <c r="L342">
        <v>51</v>
      </c>
      <c r="M342" s="6">
        <v>8409</v>
      </c>
      <c r="O342">
        <f t="shared" si="25"/>
        <v>1.2669999999999999</v>
      </c>
      <c r="P342">
        <f t="shared" si="26"/>
        <v>256</v>
      </c>
      <c r="Q342">
        <f t="shared" ca="1" si="27"/>
        <v>490</v>
      </c>
      <c r="R342" t="str">
        <f t="shared" si="28"/>
        <v>High</v>
      </c>
      <c r="S342">
        <f t="shared" si="29"/>
        <v>72445.094987122022</v>
      </c>
    </row>
    <row r="343" spans="1:19" x14ac:dyDescent="0.35">
      <c r="A343" t="s">
        <v>354</v>
      </c>
      <c r="B343" t="s">
        <v>854</v>
      </c>
      <c r="C343" t="s">
        <v>1014</v>
      </c>
      <c r="D343" t="s">
        <v>1020</v>
      </c>
      <c r="E343" s="6">
        <v>54487</v>
      </c>
      <c r="F343" s="6">
        <v>14384.208549459259</v>
      </c>
      <c r="G343" t="s">
        <v>1023</v>
      </c>
      <c r="H343" s="3">
        <v>45582</v>
      </c>
      <c r="I343" s="3">
        <v>45041</v>
      </c>
      <c r="J343" s="3">
        <v>45496</v>
      </c>
      <c r="K343" t="s">
        <v>1026</v>
      </c>
      <c r="L343">
        <v>40</v>
      </c>
      <c r="M343" s="6">
        <v>6757</v>
      </c>
      <c r="O343">
        <f t="shared" si="25"/>
        <v>0.26400000000000001</v>
      </c>
      <c r="P343">
        <f t="shared" si="26"/>
        <v>455</v>
      </c>
      <c r="Q343">
        <f t="shared" ca="1" si="27"/>
        <v>381</v>
      </c>
      <c r="R343" t="str">
        <f t="shared" si="28"/>
        <v>High</v>
      </c>
      <c r="S343">
        <f t="shared" si="29"/>
        <v>14384.208549459259</v>
      </c>
    </row>
    <row r="344" spans="1:19" x14ac:dyDescent="0.35">
      <c r="A344" t="s">
        <v>355</v>
      </c>
      <c r="B344" t="s">
        <v>855</v>
      </c>
      <c r="C344" t="s">
        <v>1013</v>
      </c>
      <c r="D344" t="s">
        <v>1020</v>
      </c>
      <c r="E344" s="6">
        <v>14342</v>
      </c>
      <c r="F344" s="6">
        <v>19229.901153666498</v>
      </c>
      <c r="G344" t="s">
        <v>1023</v>
      </c>
      <c r="H344" s="3">
        <v>45423</v>
      </c>
      <c r="I344" s="3">
        <v>44945</v>
      </c>
      <c r="J344" s="3">
        <v>45557</v>
      </c>
      <c r="K344" t="s">
        <v>1025</v>
      </c>
      <c r="L344">
        <v>65</v>
      </c>
      <c r="M344" s="6">
        <v>4994</v>
      </c>
      <c r="O344">
        <f t="shared" si="25"/>
        <v>1.341</v>
      </c>
      <c r="P344">
        <f t="shared" si="26"/>
        <v>612</v>
      </c>
      <c r="Q344">
        <f t="shared" ca="1" si="27"/>
        <v>540</v>
      </c>
      <c r="R344" t="str">
        <f t="shared" si="28"/>
        <v>Normal</v>
      </c>
      <c r="S344">
        <f t="shared" si="29"/>
        <v>19229.901153666498</v>
      </c>
    </row>
    <row r="345" spans="1:19" x14ac:dyDescent="0.35">
      <c r="A345" t="s">
        <v>356</v>
      </c>
      <c r="B345" t="s">
        <v>856</v>
      </c>
      <c r="C345" t="s">
        <v>1016</v>
      </c>
      <c r="D345" t="s">
        <v>1020</v>
      </c>
      <c r="E345" s="6">
        <v>42806</v>
      </c>
      <c r="F345" s="6">
        <v>47289.329733168757</v>
      </c>
      <c r="G345" t="s">
        <v>1023</v>
      </c>
      <c r="H345" s="3">
        <v>45472</v>
      </c>
      <c r="I345" s="3">
        <v>45079</v>
      </c>
      <c r="J345" s="3">
        <v>45504</v>
      </c>
      <c r="K345" t="s">
        <v>1026</v>
      </c>
      <c r="L345">
        <v>24</v>
      </c>
      <c r="M345" s="6">
        <v>10751</v>
      </c>
      <c r="O345">
        <f t="shared" si="25"/>
        <v>1.105</v>
      </c>
      <c r="P345">
        <f t="shared" si="26"/>
        <v>425</v>
      </c>
      <c r="Q345">
        <f t="shared" ca="1" si="27"/>
        <v>491</v>
      </c>
      <c r="R345" t="str">
        <f t="shared" si="28"/>
        <v>Normal</v>
      </c>
      <c r="S345">
        <f t="shared" si="29"/>
        <v>47289.329733168757</v>
      </c>
    </row>
    <row r="346" spans="1:19" x14ac:dyDescent="0.35">
      <c r="A346" t="s">
        <v>357</v>
      </c>
      <c r="B346" t="s">
        <v>857</v>
      </c>
      <c r="C346" t="s">
        <v>1013</v>
      </c>
      <c r="D346" t="s">
        <v>1019</v>
      </c>
      <c r="E346" s="6">
        <v>50770</v>
      </c>
      <c r="F346" s="6">
        <v>58415.208300249629</v>
      </c>
      <c r="G346" t="s">
        <v>1022</v>
      </c>
      <c r="H346" s="3">
        <v>45370</v>
      </c>
      <c r="I346" s="3">
        <v>45224</v>
      </c>
      <c r="J346" s="3">
        <v>45519</v>
      </c>
      <c r="K346" t="s">
        <v>1025</v>
      </c>
      <c r="L346">
        <v>25</v>
      </c>
      <c r="M346" s="6">
        <v>13156</v>
      </c>
      <c r="O346">
        <f t="shared" si="25"/>
        <v>1.151</v>
      </c>
      <c r="P346">
        <f t="shared" si="26"/>
        <v>295</v>
      </c>
      <c r="Q346">
        <f t="shared" ca="1" si="27"/>
        <v>593</v>
      </c>
      <c r="R346" t="str">
        <f t="shared" si="28"/>
        <v>High</v>
      </c>
      <c r="S346">
        <f t="shared" si="29"/>
        <v>58415.208300249629</v>
      </c>
    </row>
    <row r="347" spans="1:19" x14ac:dyDescent="0.35">
      <c r="A347" t="s">
        <v>358</v>
      </c>
      <c r="B347" t="s">
        <v>858</v>
      </c>
      <c r="C347" t="s">
        <v>1013</v>
      </c>
      <c r="D347" t="s">
        <v>1017</v>
      </c>
      <c r="E347" s="6">
        <v>80623</v>
      </c>
      <c r="F347" s="6">
        <v>0</v>
      </c>
      <c r="G347" t="s">
        <v>1023</v>
      </c>
      <c r="H347" s="3">
        <v>45311</v>
      </c>
      <c r="I347" s="3">
        <v>45280</v>
      </c>
      <c r="J347" s="3">
        <v>45478</v>
      </c>
      <c r="K347" t="s">
        <v>1025</v>
      </c>
      <c r="L347">
        <v>57</v>
      </c>
      <c r="M347" s="6">
        <v>3271</v>
      </c>
      <c r="O347">
        <f t="shared" si="25"/>
        <v>0</v>
      </c>
      <c r="P347">
        <f t="shared" si="26"/>
        <v>198</v>
      </c>
      <c r="Q347">
        <f t="shared" ca="1" si="27"/>
        <v>652</v>
      </c>
      <c r="R347" t="str">
        <f t="shared" si="28"/>
        <v>High</v>
      </c>
      <c r="S347">
        <f t="shared" si="29"/>
        <v>0</v>
      </c>
    </row>
    <row r="348" spans="1:19" x14ac:dyDescent="0.35">
      <c r="A348" t="s">
        <v>359</v>
      </c>
      <c r="B348" t="s">
        <v>859</v>
      </c>
      <c r="C348" t="s">
        <v>1013</v>
      </c>
      <c r="D348" t="s">
        <v>1017</v>
      </c>
      <c r="E348" s="6">
        <v>77629</v>
      </c>
      <c r="F348" s="6">
        <v>7104.4473256235551</v>
      </c>
      <c r="G348" t="s">
        <v>1023</v>
      </c>
      <c r="H348" s="3">
        <v>45528</v>
      </c>
      <c r="I348" s="3">
        <v>45180</v>
      </c>
      <c r="J348" s="3">
        <v>45407</v>
      </c>
      <c r="K348" t="s">
        <v>1026</v>
      </c>
      <c r="L348">
        <v>41</v>
      </c>
      <c r="M348" s="6">
        <v>3813</v>
      </c>
      <c r="O348">
        <f t="shared" si="25"/>
        <v>9.1999999999999998E-2</v>
      </c>
      <c r="P348">
        <f t="shared" si="26"/>
        <v>227</v>
      </c>
      <c r="Q348">
        <f t="shared" ca="1" si="27"/>
        <v>435</v>
      </c>
      <c r="R348" t="str">
        <f t="shared" si="28"/>
        <v>High</v>
      </c>
      <c r="S348">
        <f t="shared" si="29"/>
        <v>7104.4473256235551</v>
      </c>
    </row>
    <row r="349" spans="1:19" x14ac:dyDescent="0.35">
      <c r="A349" t="s">
        <v>360</v>
      </c>
      <c r="B349" t="s">
        <v>860</v>
      </c>
      <c r="C349" t="s">
        <v>1014</v>
      </c>
      <c r="D349" t="s">
        <v>1018</v>
      </c>
      <c r="E349" s="6">
        <v>54603</v>
      </c>
      <c r="F349" s="6">
        <v>22739.871404499139</v>
      </c>
      <c r="G349" t="s">
        <v>1022</v>
      </c>
      <c r="H349" s="3">
        <v>45411</v>
      </c>
      <c r="I349" s="3">
        <v>45117</v>
      </c>
      <c r="J349" s="3">
        <v>45397</v>
      </c>
      <c r="K349" t="s">
        <v>1025</v>
      </c>
      <c r="L349">
        <v>37</v>
      </c>
      <c r="M349" s="6">
        <v>13107</v>
      </c>
      <c r="O349">
        <f t="shared" si="25"/>
        <v>0.41599999999999998</v>
      </c>
      <c r="P349">
        <f t="shared" si="26"/>
        <v>280</v>
      </c>
      <c r="Q349">
        <f t="shared" ca="1" si="27"/>
        <v>552</v>
      </c>
      <c r="R349" t="str">
        <f t="shared" si="28"/>
        <v>High</v>
      </c>
      <c r="S349">
        <f t="shared" si="29"/>
        <v>22739.871404499139</v>
      </c>
    </row>
    <row r="350" spans="1:19" x14ac:dyDescent="0.35">
      <c r="A350" t="s">
        <v>361</v>
      </c>
      <c r="B350" t="s">
        <v>861</v>
      </c>
      <c r="C350" t="s">
        <v>1014</v>
      </c>
      <c r="D350" t="s">
        <v>1018</v>
      </c>
      <c r="E350" s="6">
        <v>83974</v>
      </c>
      <c r="F350" s="6">
        <v>60639.633902088972</v>
      </c>
      <c r="G350" t="s">
        <v>1022</v>
      </c>
      <c r="H350" s="3">
        <v>45372</v>
      </c>
      <c r="I350" s="3">
        <v>45086</v>
      </c>
      <c r="J350" s="3">
        <v>45334</v>
      </c>
      <c r="K350" t="s">
        <v>1025</v>
      </c>
      <c r="L350">
        <v>33</v>
      </c>
      <c r="M350" s="6">
        <v>10801</v>
      </c>
      <c r="O350">
        <f t="shared" si="25"/>
        <v>0.72199999999999998</v>
      </c>
      <c r="P350">
        <f t="shared" si="26"/>
        <v>248</v>
      </c>
      <c r="Q350">
        <f t="shared" ca="1" si="27"/>
        <v>591</v>
      </c>
      <c r="R350" t="str">
        <f t="shared" si="28"/>
        <v>High</v>
      </c>
      <c r="S350">
        <f t="shared" si="29"/>
        <v>60639.633902088972</v>
      </c>
    </row>
    <row r="351" spans="1:19" x14ac:dyDescent="0.35">
      <c r="A351" t="s">
        <v>362</v>
      </c>
      <c r="B351" t="s">
        <v>862</v>
      </c>
      <c r="C351" t="s">
        <v>1013</v>
      </c>
      <c r="D351" t="s">
        <v>1020</v>
      </c>
      <c r="E351" s="6">
        <v>28399</v>
      </c>
      <c r="F351" s="6">
        <v>0</v>
      </c>
      <c r="G351" t="s">
        <v>1023</v>
      </c>
      <c r="H351" s="3">
        <v>45535</v>
      </c>
      <c r="I351" s="3">
        <v>45228</v>
      </c>
      <c r="J351" s="3">
        <v>45574</v>
      </c>
      <c r="K351" t="s">
        <v>1026</v>
      </c>
      <c r="L351">
        <v>29</v>
      </c>
      <c r="M351" s="6">
        <v>4461</v>
      </c>
      <c r="O351">
        <f t="shared" si="25"/>
        <v>0</v>
      </c>
      <c r="P351">
        <f t="shared" si="26"/>
        <v>346</v>
      </c>
      <c r="Q351">
        <f t="shared" ca="1" si="27"/>
        <v>428</v>
      </c>
      <c r="R351" t="str">
        <f t="shared" si="28"/>
        <v>Normal</v>
      </c>
      <c r="S351">
        <f t="shared" si="29"/>
        <v>0</v>
      </c>
    </row>
    <row r="352" spans="1:19" x14ac:dyDescent="0.35">
      <c r="A352" t="s">
        <v>363</v>
      </c>
      <c r="B352" t="s">
        <v>863</v>
      </c>
      <c r="C352" t="s">
        <v>1014</v>
      </c>
      <c r="D352" t="s">
        <v>1018</v>
      </c>
      <c r="E352" s="6">
        <v>87382</v>
      </c>
      <c r="F352" s="6">
        <v>23292.97463194569</v>
      </c>
      <c r="G352" t="s">
        <v>1023</v>
      </c>
      <c r="H352" s="3">
        <v>45384</v>
      </c>
      <c r="I352" s="3">
        <v>44984</v>
      </c>
      <c r="J352" s="3">
        <v>45336</v>
      </c>
      <c r="K352" t="s">
        <v>1026</v>
      </c>
      <c r="L352">
        <v>65</v>
      </c>
      <c r="M352" s="6">
        <v>6120</v>
      </c>
      <c r="O352">
        <f t="shared" si="25"/>
        <v>0.26700000000000002</v>
      </c>
      <c r="P352">
        <f t="shared" si="26"/>
        <v>352</v>
      </c>
      <c r="Q352">
        <f t="shared" ca="1" si="27"/>
        <v>579</v>
      </c>
      <c r="R352" t="str">
        <f t="shared" si="28"/>
        <v>High</v>
      </c>
      <c r="S352">
        <f t="shared" si="29"/>
        <v>23292.97463194569</v>
      </c>
    </row>
    <row r="353" spans="1:19" x14ac:dyDescent="0.35">
      <c r="A353" t="s">
        <v>364</v>
      </c>
      <c r="B353" t="s">
        <v>864</v>
      </c>
      <c r="C353" t="s">
        <v>1015</v>
      </c>
      <c r="D353" t="s">
        <v>1019</v>
      </c>
      <c r="E353" s="6">
        <v>83244</v>
      </c>
      <c r="F353" s="6">
        <v>70217.354966732077</v>
      </c>
      <c r="G353" t="s">
        <v>1023</v>
      </c>
      <c r="H353" s="3">
        <v>45414</v>
      </c>
      <c r="I353" s="3">
        <v>45012</v>
      </c>
      <c r="J353" s="3">
        <v>45566</v>
      </c>
      <c r="K353" t="s">
        <v>1025</v>
      </c>
      <c r="L353">
        <v>32</v>
      </c>
      <c r="M353" s="6">
        <v>8124</v>
      </c>
      <c r="O353">
        <f t="shared" si="25"/>
        <v>0.84399999999999997</v>
      </c>
      <c r="P353">
        <f t="shared" si="26"/>
        <v>554</v>
      </c>
      <c r="Q353">
        <f t="shared" ca="1" si="27"/>
        <v>549</v>
      </c>
      <c r="R353" t="str">
        <f t="shared" si="28"/>
        <v>High</v>
      </c>
      <c r="S353">
        <f t="shared" si="29"/>
        <v>70217.354966732077</v>
      </c>
    </row>
    <row r="354" spans="1:19" x14ac:dyDescent="0.35">
      <c r="A354" t="s">
        <v>365</v>
      </c>
      <c r="B354" t="s">
        <v>865</v>
      </c>
      <c r="C354" t="s">
        <v>1015</v>
      </c>
      <c r="D354" t="s">
        <v>1017</v>
      </c>
      <c r="E354" s="6">
        <v>78534</v>
      </c>
      <c r="F354" s="6">
        <v>28217.365368543189</v>
      </c>
      <c r="G354" t="s">
        <v>1023</v>
      </c>
      <c r="H354" s="3">
        <v>45362</v>
      </c>
      <c r="I354" s="3">
        <v>45108</v>
      </c>
      <c r="J354" s="3">
        <v>45494</v>
      </c>
      <c r="K354" t="s">
        <v>1026</v>
      </c>
      <c r="L354">
        <v>50</v>
      </c>
      <c r="M354" s="6">
        <v>10475</v>
      </c>
      <c r="O354">
        <f t="shared" si="25"/>
        <v>0.35899999999999999</v>
      </c>
      <c r="P354">
        <f t="shared" si="26"/>
        <v>386</v>
      </c>
      <c r="Q354">
        <f t="shared" ca="1" si="27"/>
        <v>601</v>
      </c>
      <c r="R354" t="str">
        <f t="shared" si="28"/>
        <v>High</v>
      </c>
      <c r="S354">
        <f t="shared" si="29"/>
        <v>28217.365368543189</v>
      </c>
    </row>
    <row r="355" spans="1:19" x14ac:dyDescent="0.35">
      <c r="A355" t="s">
        <v>366</v>
      </c>
      <c r="B355" t="s">
        <v>866</v>
      </c>
      <c r="C355" t="s">
        <v>1014</v>
      </c>
      <c r="D355" t="s">
        <v>1020</v>
      </c>
      <c r="E355" s="6">
        <v>57106</v>
      </c>
      <c r="F355" s="6">
        <v>8946.2752938187132</v>
      </c>
      <c r="G355" t="s">
        <v>1023</v>
      </c>
      <c r="H355" s="3">
        <v>45554</v>
      </c>
      <c r="I355" s="3">
        <v>45167</v>
      </c>
      <c r="J355" s="3">
        <v>45558</v>
      </c>
      <c r="K355" t="s">
        <v>1026</v>
      </c>
      <c r="L355">
        <v>49</v>
      </c>
      <c r="M355" s="6">
        <v>13120</v>
      </c>
      <c r="O355">
        <f t="shared" si="25"/>
        <v>0.157</v>
      </c>
      <c r="P355">
        <f t="shared" si="26"/>
        <v>391</v>
      </c>
      <c r="Q355">
        <f t="shared" ca="1" si="27"/>
        <v>409</v>
      </c>
      <c r="R355" t="str">
        <f t="shared" si="28"/>
        <v>High</v>
      </c>
      <c r="S355">
        <f t="shared" si="29"/>
        <v>8946.2752938187132</v>
      </c>
    </row>
    <row r="356" spans="1:19" x14ac:dyDescent="0.35">
      <c r="A356" t="s">
        <v>367</v>
      </c>
      <c r="B356" t="s">
        <v>867</v>
      </c>
      <c r="C356" t="s">
        <v>1014</v>
      </c>
      <c r="D356" t="s">
        <v>1018</v>
      </c>
      <c r="E356" s="6">
        <v>32678</v>
      </c>
      <c r="F356" s="6">
        <v>20592.33626794034</v>
      </c>
      <c r="G356" t="s">
        <v>1022</v>
      </c>
      <c r="H356" s="3">
        <v>45382</v>
      </c>
      <c r="I356" s="3">
        <v>45094</v>
      </c>
      <c r="J356" s="3">
        <v>45445</v>
      </c>
      <c r="K356" t="s">
        <v>1026</v>
      </c>
      <c r="L356">
        <v>22</v>
      </c>
      <c r="M356" s="6">
        <v>6396</v>
      </c>
      <c r="O356">
        <f t="shared" si="25"/>
        <v>0.63</v>
      </c>
      <c r="P356">
        <f t="shared" si="26"/>
        <v>351</v>
      </c>
      <c r="Q356">
        <f t="shared" ca="1" si="27"/>
        <v>581</v>
      </c>
      <c r="R356" t="str">
        <f t="shared" si="28"/>
        <v>Normal</v>
      </c>
      <c r="S356">
        <f t="shared" si="29"/>
        <v>20592.33626794034</v>
      </c>
    </row>
    <row r="357" spans="1:19" x14ac:dyDescent="0.35">
      <c r="A357" t="s">
        <v>368</v>
      </c>
      <c r="B357" t="s">
        <v>868</v>
      </c>
      <c r="C357" t="s">
        <v>1013</v>
      </c>
      <c r="D357" t="s">
        <v>1019</v>
      </c>
      <c r="E357" s="6">
        <v>78218</v>
      </c>
      <c r="F357" s="6">
        <v>11070.22748164951</v>
      </c>
      <c r="G357" t="s">
        <v>1023</v>
      </c>
      <c r="H357" s="3">
        <v>45450</v>
      </c>
      <c r="I357" s="3">
        <v>45057</v>
      </c>
      <c r="J357" s="3">
        <v>45529</v>
      </c>
      <c r="K357" t="s">
        <v>1026</v>
      </c>
      <c r="L357">
        <v>49</v>
      </c>
      <c r="M357" s="6">
        <v>11283</v>
      </c>
      <c r="O357">
        <f t="shared" si="25"/>
        <v>0.14199999999999999</v>
      </c>
      <c r="P357">
        <f t="shared" si="26"/>
        <v>472</v>
      </c>
      <c r="Q357">
        <f t="shared" ca="1" si="27"/>
        <v>513</v>
      </c>
      <c r="R357" t="str">
        <f t="shared" si="28"/>
        <v>High</v>
      </c>
      <c r="S357">
        <f t="shared" si="29"/>
        <v>11070.22748164951</v>
      </c>
    </row>
    <row r="358" spans="1:19" x14ac:dyDescent="0.35">
      <c r="A358" t="s">
        <v>369</v>
      </c>
      <c r="B358" t="s">
        <v>869</v>
      </c>
      <c r="C358" t="s">
        <v>1016</v>
      </c>
      <c r="D358" t="s">
        <v>1019</v>
      </c>
      <c r="E358" s="6">
        <v>65230</v>
      </c>
      <c r="F358" s="6">
        <v>11204.67579378986</v>
      </c>
      <c r="G358" t="s">
        <v>1023</v>
      </c>
      <c r="H358" s="3">
        <v>45364</v>
      </c>
      <c r="I358" s="3">
        <v>45121</v>
      </c>
      <c r="J358" s="3">
        <v>45325</v>
      </c>
      <c r="K358" t="s">
        <v>1025</v>
      </c>
      <c r="L358">
        <v>25</v>
      </c>
      <c r="M358" s="6">
        <v>2816</v>
      </c>
      <c r="O358">
        <f t="shared" si="25"/>
        <v>0.17199999999999999</v>
      </c>
      <c r="P358">
        <f t="shared" si="26"/>
        <v>204</v>
      </c>
      <c r="Q358">
        <f t="shared" ca="1" si="27"/>
        <v>599</v>
      </c>
      <c r="R358" t="str">
        <f t="shared" si="28"/>
        <v>High</v>
      </c>
      <c r="S358">
        <f t="shared" si="29"/>
        <v>11204.67579378986</v>
      </c>
    </row>
    <row r="359" spans="1:19" x14ac:dyDescent="0.35">
      <c r="A359" t="s">
        <v>370</v>
      </c>
      <c r="B359" t="s">
        <v>870</v>
      </c>
      <c r="C359" t="s">
        <v>1014</v>
      </c>
      <c r="D359" t="s">
        <v>1018</v>
      </c>
      <c r="E359" s="6">
        <v>76055</v>
      </c>
      <c r="F359" s="6">
        <v>73784.146488835147</v>
      </c>
      <c r="G359" t="s">
        <v>1023</v>
      </c>
      <c r="H359" s="3">
        <v>45551</v>
      </c>
      <c r="I359" s="3">
        <v>45208</v>
      </c>
      <c r="J359" s="3">
        <v>45318</v>
      </c>
      <c r="K359" t="s">
        <v>1025</v>
      </c>
      <c r="L359">
        <v>48</v>
      </c>
      <c r="M359" s="6">
        <v>9304</v>
      </c>
      <c r="O359">
        <f t="shared" si="25"/>
        <v>0.97</v>
      </c>
      <c r="P359">
        <f t="shared" si="26"/>
        <v>110</v>
      </c>
      <c r="Q359">
        <f t="shared" ca="1" si="27"/>
        <v>412</v>
      </c>
      <c r="R359" t="str">
        <f t="shared" si="28"/>
        <v>High</v>
      </c>
      <c r="S359">
        <f t="shared" si="29"/>
        <v>73784.146488835147</v>
      </c>
    </row>
    <row r="360" spans="1:19" x14ac:dyDescent="0.35">
      <c r="A360" t="s">
        <v>371</v>
      </c>
      <c r="B360" t="s">
        <v>871</v>
      </c>
      <c r="C360" t="s">
        <v>1015</v>
      </c>
      <c r="D360" t="s">
        <v>1017</v>
      </c>
      <c r="E360" s="6">
        <v>58373</v>
      </c>
      <c r="F360" s="6">
        <v>5277.2190598362586</v>
      </c>
      <c r="G360" t="s">
        <v>1022</v>
      </c>
      <c r="H360" s="3">
        <v>45319</v>
      </c>
      <c r="I360" s="3">
        <v>45155</v>
      </c>
      <c r="J360" s="3">
        <v>45514</v>
      </c>
      <c r="K360" t="s">
        <v>1025</v>
      </c>
      <c r="L360">
        <v>27</v>
      </c>
      <c r="M360" s="6">
        <v>9331</v>
      </c>
      <c r="O360">
        <f t="shared" si="25"/>
        <v>0.09</v>
      </c>
      <c r="P360">
        <f t="shared" si="26"/>
        <v>359</v>
      </c>
      <c r="Q360">
        <f t="shared" ca="1" si="27"/>
        <v>644</v>
      </c>
      <c r="R360" t="str">
        <f t="shared" si="28"/>
        <v>High</v>
      </c>
      <c r="S360">
        <f t="shared" si="29"/>
        <v>5277.2190598362586</v>
      </c>
    </row>
    <row r="361" spans="1:19" x14ac:dyDescent="0.35">
      <c r="A361" t="s">
        <v>372</v>
      </c>
      <c r="B361" t="s">
        <v>872</v>
      </c>
      <c r="C361" t="s">
        <v>1013</v>
      </c>
      <c r="D361" t="s">
        <v>1018</v>
      </c>
      <c r="E361" s="6">
        <v>33480</v>
      </c>
      <c r="F361" s="6">
        <v>68219.974328028256</v>
      </c>
      <c r="G361" t="s">
        <v>1023</v>
      </c>
      <c r="H361" s="3">
        <v>45387</v>
      </c>
      <c r="I361" s="3">
        <v>45120</v>
      </c>
      <c r="J361" s="3">
        <v>45390</v>
      </c>
      <c r="K361" t="s">
        <v>1026</v>
      </c>
      <c r="L361">
        <v>63</v>
      </c>
      <c r="M361" s="6">
        <v>2082</v>
      </c>
      <c r="O361">
        <f t="shared" si="25"/>
        <v>2.0379999999999998</v>
      </c>
      <c r="P361">
        <f t="shared" si="26"/>
        <v>270</v>
      </c>
      <c r="Q361">
        <f t="shared" ca="1" si="27"/>
        <v>576</v>
      </c>
      <c r="R361" t="str">
        <f t="shared" si="28"/>
        <v>Normal</v>
      </c>
      <c r="S361">
        <f t="shared" si="29"/>
        <v>68219.974328028256</v>
      </c>
    </row>
    <row r="362" spans="1:19" x14ac:dyDescent="0.35">
      <c r="A362" t="s">
        <v>373</v>
      </c>
      <c r="B362" t="s">
        <v>873</v>
      </c>
      <c r="C362" t="s">
        <v>1014</v>
      </c>
      <c r="D362" t="s">
        <v>1020</v>
      </c>
      <c r="E362" s="6">
        <v>87230</v>
      </c>
      <c r="F362" s="6">
        <v>56345.117872909534</v>
      </c>
      <c r="G362" t="s">
        <v>1024</v>
      </c>
      <c r="H362" s="3">
        <v>45590</v>
      </c>
      <c r="I362" s="3">
        <v>45270</v>
      </c>
      <c r="J362" s="3">
        <v>45506</v>
      </c>
      <c r="K362" t="s">
        <v>1026</v>
      </c>
      <c r="L362">
        <v>64</v>
      </c>
      <c r="M362" s="6">
        <v>3920</v>
      </c>
      <c r="O362">
        <f t="shared" si="25"/>
        <v>0.64600000000000002</v>
      </c>
      <c r="P362">
        <f t="shared" si="26"/>
        <v>236</v>
      </c>
      <c r="Q362">
        <f t="shared" ca="1" si="27"/>
        <v>373</v>
      </c>
      <c r="R362" t="str">
        <f t="shared" si="28"/>
        <v>High</v>
      </c>
      <c r="S362">
        <f t="shared" si="29"/>
        <v>0</v>
      </c>
    </row>
    <row r="363" spans="1:19" x14ac:dyDescent="0.35">
      <c r="A363" t="s">
        <v>374</v>
      </c>
      <c r="B363" t="s">
        <v>874</v>
      </c>
      <c r="C363" t="s">
        <v>1015</v>
      </c>
      <c r="D363" t="s">
        <v>1018</v>
      </c>
      <c r="E363" s="6">
        <v>70836</v>
      </c>
      <c r="F363" s="6">
        <v>48399.546307208162</v>
      </c>
      <c r="G363" t="s">
        <v>1023</v>
      </c>
      <c r="H363" s="3">
        <v>45433</v>
      </c>
      <c r="I363" s="3">
        <v>44953</v>
      </c>
      <c r="J363" s="3">
        <v>45632</v>
      </c>
      <c r="K363" t="s">
        <v>1026</v>
      </c>
      <c r="L363">
        <v>62</v>
      </c>
      <c r="M363" s="6">
        <v>9817</v>
      </c>
      <c r="O363">
        <f t="shared" si="25"/>
        <v>0.68300000000000005</v>
      </c>
      <c r="P363">
        <f t="shared" si="26"/>
        <v>679</v>
      </c>
      <c r="Q363">
        <f t="shared" ca="1" si="27"/>
        <v>530</v>
      </c>
      <c r="R363" t="str">
        <f t="shared" si="28"/>
        <v>High</v>
      </c>
      <c r="S363">
        <f t="shared" si="29"/>
        <v>48399.546307208162</v>
      </c>
    </row>
    <row r="364" spans="1:19" x14ac:dyDescent="0.35">
      <c r="A364" t="s">
        <v>375</v>
      </c>
      <c r="B364" t="s">
        <v>875</v>
      </c>
      <c r="C364" t="s">
        <v>1015</v>
      </c>
      <c r="D364" t="s">
        <v>1019</v>
      </c>
      <c r="E364" s="6">
        <v>74258</v>
      </c>
      <c r="F364" s="6">
        <v>33957.289178896142</v>
      </c>
      <c r="G364" t="s">
        <v>1023</v>
      </c>
      <c r="H364" s="3">
        <v>45486</v>
      </c>
      <c r="I364" s="3">
        <v>45204</v>
      </c>
      <c r="J364" s="3">
        <v>45368</v>
      </c>
      <c r="K364" t="s">
        <v>1026</v>
      </c>
      <c r="L364">
        <v>63</v>
      </c>
      <c r="M364" s="6">
        <v>13683</v>
      </c>
      <c r="O364">
        <f t="shared" si="25"/>
        <v>0.45700000000000002</v>
      </c>
      <c r="P364">
        <f t="shared" si="26"/>
        <v>164</v>
      </c>
      <c r="Q364">
        <f t="shared" ca="1" si="27"/>
        <v>477</v>
      </c>
      <c r="R364" t="str">
        <f t="shared" si="28"/>
        <v>High</v>
      </c>
      <c r="S364">
        <f t="shared" si="29"/>
        <v>33957.289178896142</v>
      </c>
    </row>
    <row r="365" spans="1:19" x14ac:dyDescent="0.35">
      <c r="A365" t="s">
        <v>376</v>
      </c>
      <c r="B365" t="s">
        <v>876</v>
      </c>
      <c r="C365" t="s">
        <v>1016</v>
      </c>
      <c r="D365" t="s">
        <v>1018</v>
      </c>
      <c r="E365" s="6">
        <v>41986</v>
      </c>
      <c r="F365" s="6">
        <v>53918.572563316833</v>
      </c>
      <c r="G365" t="s">
        <v>1023</v>
      </c>
      <c r="H365" s="3">
        <v>45352</v>
      </c>
      <c r="I365" s="3">
        <v>45153</v>
      </c>
      <c r="J365" s="3">
        <v>45381</v>
      </c>
      <c r="K365" t="s">
        <v>1026</v>
      </c>
      <c r="L365">
        <v>52</v>
      </c>
      <c r="M365" s="6">
        <v>13336</v>
      </c>
      <c r="O365">
        <f t="shared" si="25"/>
        <v>1.284</v>
      </c>
      <c r="P365">
        <f t="shared" si="26"/>
        <v>228</v>
      </c>
      <c r="Q365">
        <f t="shared" ca="1" si="27"/>
        <v>611</v>
      </c>
      <c r="R365" t="str">
        <f t="shared" si="28"/>
        <v>Normal</v>
      </c>
      <c r="S365">
        <f t="shared" si="29"/>
        <v>53918.572563316833</v>
      </c>
    </row>
    <row r="366" spans="1:19" x14ac:dyDescent="0.35">
      <c r="A366" t="s">
        <v>377</v>
      </c>
      <c r="B366" t="s">
        <v>877</v>
      </c>
      <c r="C366" t="s">
        <v>1013</v>
      </c>
      <c r="D366" t="s">
        <v>1017</v>
      </c>
      <c r="E366" s="6">
        <v>26160</v>
      </c>
      <c r="F366" s="6">
        <v>10059.111328214311</v>
      </c>
      <c r="G366" t="s">
        <v>1023</v>
      </c>
      <c r="H366" s="3">
        <v>45576</v>
      </c>
      <c r="I366" s="3">
        <v>44971</v>
      </c>
      <c r="J366" s="3">
        <v>45399</v>
      </c>
      <c r="K366" t="s">
        <v>1026</v>
      </c>
      <c r="L366">
        <v>36</v>
      </c>
      <c r="M366" s="6">
        <v>4093</v>
      </c>
      <c r="O366">
        <f t="shared" si="25"/>
        <v>0.38500000000000001</v>
      </c>
      <c r="P366">
        <f t="shared" si="26"/>
        <v>428</v>
      </c>
      <c r="Q366">
        <f t="shared" ca="1" si="27"/>
        <v>387</v>
      </c>
      <c r="R366" t="str">
        <f t="shared" si="28"/>
        <v>Normal</v>
      </c>
      <c r="S366">
        <f t="shared" si="29"/>
        <v>10059.111328214311</v>
      </c>
    </row>
    <row r="367" spans="1:19" x14ac:dyDescent="0.35">
      <c r="A367" t="s">
        <v>378</v>
      </c>
      <c r="B367" t="s">
        <v>878</v>
      </c>
      <c r="C367" t="s">
        <v>1013</v>
      </c>
      <c r="D367" t="s">
        <v>1021</v>
      </c>
      <c r="E367" s="6">
        <v>87595</v>
      </c>
      <c r="F367" s="6">
        <v>22623.333439132519</v>
      </c>
      <c r="G367" t="s">
        <v>1023</v>
      </c>
      <c r="H367" s="3">
        <v>45465</v>
      </c>
      <c r="I367" s="3">
        <v>45152</v>
      </c>
      <c r="J367" s="3">
        <v>45488</v>
      </c>
      <c r="K367" t="s">
        <v>1026</v>
      </c>
      <c r="L367">
        <v>67</v>
      </c>
      <c r="M367" s="6">
        <v>14905</v>
      </c>
      <c r="O367">
        <f t="shared" si="25"/>
        <v>0.25800000000000001</v>
      </c>
      <c r="P367">
        <f t="shared" si="26"/>
        <v>336</v>
      </c>
      <c r="Q367">
        <f t="shared" ca="1" si="27"/>
        <v>498</v>
      </c>
      <c r="R367" t="str">
        <f t="shared" si="28"/>
        <v>High</v>
      </c>
      <c r="S367">
        <f t="shared" si="29"/>
        <v>22623.333439132519</v>
      </c>
    </row>
    <row r="368" spans="1:19" x14ac:dyDescent="0.35">
      <c r="A368" t="s">
        <v>379</v>
      </c>
      <c r="B368" t="s">
        <v>879</v>
      </c>
      <c r="C368" t="s">
        <v>1016</v>
      </c>
      <c r="D368" t="s">
        <v>1018</v>
      </c>
      <c r="E368" s="6">
        <v>81111</v>
      </c>
      <c r="F368" s="6">
        <v>37756.552386594849</v>
      </c>
      <c r="G368" t="s">
        <v>1023</v>
      </c>
      <c r="H368" s="3">
        <v>45588</v>
      </c>
      <c r="I368" s="3">
        <v>45233</v>
      </c>
      <c r="J368" s="3">
        <v>45301</v>
      </c>
      <c r="K368" t="s">
        <v>1025</v>
      </c>
      <c r="L368">
        <v>30</v>
      </c>
      <c r="M368" s="6">
        <v>9071</v>
      </c>
      <c r="O368">
        <f t="shared" si="25"/>
        <v>0.46500000000000002</v>
      </c>
      <c r="P368">
        <f t="shared" si="26"/>
        <v>68</v>
      </c>
      <c r="Q368">
        <f t="shared" ca="1" si="27"/>
        <v>375</v>
      </c>
      <c r="R368" t="str">
        <f t="shared" si="28"/>
        <v>High</v>
      </c>
      <c r="S368">
        <f t="shared" si="29"/>
        <v>37756.552386594849</v>
      </c>
    </row>
    <row r="369" spans="1:19" x14ac:dyDescent="0.35">
      <c r="A369" t="s">
        <v>380</v>
      </c>
      <c r="B369" t="s">
        <v>880</v>
      </c>
      <c r="C369" t="s">
        <v>1016</v>
      </c>
      <c r="D369" t="s">
        <v>1017</v>
      </c>
      <c r="E369" s="6">
        <v>66929</v>
      </c>
      <c r="F369" s="6">
        <v>44847.518399495857</v>
      </c>
      <c r="G369" t="s">
        <v>1023</v>
      </c>
      <c r="H369" s="3">
        <v>45421</v>
      </c>
      <c r="I369" s="3">
        <v>45226</v>
      </c>
      <c r="J369" s="3">
        <v>45416</v>
      </c>
      <c r="K369" t="s">
        <v>1025</v>
      </c>
      <c r="L369">
        <v>32</v>
      </c>
      <c r="M369" s="6">
        <v>9967</v>
      </c>
      <c r="O369">
        <f t="shared" si="25"/>
        <v>0.67</v>
      </c>
      <c r="P369">
        <f t="shared" si="26"/>
        <v>190</v>
      </c>
      <c r="Q369">
        <f t="shared" ca="1" si="27"/>
        <v>542</v>
      </c>
      <c r="R369" t="str">
        <f t="shared" si="28"/>
        <v>High</v>
      </c>
      <c r="S369">
        <f t="shared" si="29"/>
        <v>44847.518399495857</v>
      </c>
    </row>
    <row r="370" spans="1:19" x14ac:dyDescent="0.35">
      <c r="A370" t="s">
        <v>381</v>
      </c>
      <c r="B370" t="s">
        <v>881</v>
      </c>
      <c r="C370" t="s">
        <v>1013</v>
      </c>
      <c r="D370" t="s">
        <v>1017</v>
      </c>
      <c r="E370" s="6">
        <v>75506</v>
      </c>
      <c r="F370" s="6">
        <v>71930.092345538273</v>
      </c>
      <c r="G370" t="s">
        <v>1022</v>
      </c>
      <c r="H370" s="3">
        <v>45493</v>
      </c>
      <c r="I370" s="3">
        <v>45033</v>
      </c>
      <c r="J370" s="3">
        <v>45568</v>
      </c>
      <c r="K370" t="s">
        <v>1026</v>
      </c>
      <c r="L370">
        <v>69</v>
      </c>
      <c r="M370" s="6">
        <v>10367</v>
      </c>
      <c r="O370">
        <f t="shared" si="25"/>
        <v>0.95299999999999996</v>
      </c>
      <c r="P370">
        <f t="shared" si="26"/>
        <v>535</v>
      </c>
      <c r="Q370">
        <f t="shared" ca="1" si="27"/>
        <v>470</v>
      </c>
      <c r="R370" t="str">
        <f t="shared" si="28"/>
        <v>High</v>
      </c>
      <c r="S370">
        <f t="shared" si="29"/>
        <v>71930.092345538273</v>
      </c>
    </row>
    <row r="371" spans="1:19" x14ac:dyDescent="0.35">
      <c r="A371" t="s">
        <v>382</v>
      </c>
      <c r="B371" t="s">
        <v>882</v>
      </c>
      <c r="C371" t="s">
        <v>1013</v>
      </c>
      <c r="D371" t="s">
        <v>1019</v>
      </c>
      <c r="E371" s="6">
        <v>36911</v>
      </c>
      <c r="F371" s="6">
        <v>43523.916587541127</v>
      </c>
      <c r="G371" t="s">
        <v>1023</v>
      </c>
      <c r="H371" s="3">
        <v>45443</v>
      </c>
      <c r="I371" s="3">
        <v>45097</v>
      </c>
      <c r="J371" s="3">
        <v>45552</v>
      </c>
      <c r="K371" t="s">
        <v>1026</v>
      </c>
      <c r="L371">
        <v>30</v>
      </c>
      <c r="M371" s="6">
        <v>7285</v>
      </c>
      <c r="O371">
        <f t="shared" si="25"/>
        <v>1.179</v>
      </c>
      <c r="P371">
        <f t="shared" si="26"/>
        <v>455</v>
      </c>
      <c r="Q371">
        <f t="shared" ca="1" si="27"/>
        <v>520</v>
      </c>
      <c r="R371" t="str">
        <f t="shared" si="28"/>
        <v>Normal</v>
      </c>
      <c r="S371">
        <f t="shared" si="29"/>
        <v>43523.916587541127</v>
      </c>
    </row>
    <row r="372" spans="1:19" x14ac:dyDescent="0.35">
      <c r="A372" t="s">
        <v>383</v>
      </c>
      <c r="B372" t="s">
        <v>883</v>
      </c>
      <c r="C372" t="s">
        <v>1014</v>
      </c>
      <c r="D372" t="s">
        <v>1017</v>
      </c>
      <c r="E372" s="6">
        <v>89127</v>
      </c>
      <c r="F372" s="6">
        <v>4882.1939113913186</v>
      </c>
      <c r="G372" t="s">
        <v>1022</v>
      </c>
      <c r="H372" s="3">
        <v>45476</v>
      </c>
      <c r="I372" s="3">
        <v>45082</v>
      </c>
      <c r="J372" s="3">
        <v>45432</v>
      </c>
      <c r="K372" t="s">
        <v>1026</v>
      </c>
      <c r="L372">
        <v>50</v>
      </c>
      <c r="M372" s="6">
        <v>12896</v>
      </c>
      <c r="O372">
        <f t="shared" si="25"/>
        <v>5.5E-2</v>
      </c>
      <c r="P372">
        <f t="shared" si="26"/>
        <v>350</v>
      </c>
      <c r="Q372">
        <f t="shared" ca="1" si="27"/>
        <v>487</v>
      </c>
      <c r="R372" t="str">
        <f t="shared" si="28"/>
        <v>High</v>
      </c>
      <c r="S372">
        <f t="shared" si="29"/>
        <v>4882.1939113913186</v>
      </c>
    </row>
    <row r="373" spans="1:19" x14ac:dyDescent="0.35">
      <c r="A373" t="s">
        <v>384</v>
      </c>
      <c r="B373" t="s">
        <v>884</v>
      </c>
      <c r="C373" t="s">
        <v>1014</v>
      </c>
      <c r="D373" t="s">
        <v>1017</v>
      </c>
      <c r="E373" s="6">
        <v>33821</v>
      </c>
      <c r="F373" s="6">
        <v>0</v>
      </c>
      <c r="G373" t="s">
        <v>1023</v>
      </c>
      <c r="H373" s="3">
        <v>45562</v>
      </c>
      <c r="I373" s="3">
        <v>44931</v>
      </c>
      <c r="J373" s="3">
        <v>45319</v>
      </c>
      <c r="K373" t="s">
        <v>1025</v>
      </c>
      <c r="L373">
        <v>47</v>
      </c>
      <c r="M373" s="6">
        <v>6937</v>
      </c>
      <c r="O373">
        <f t="shared" si="25"/>
        <v>0</v>
      </c>
      <c r="P373">
        <f t="shared" si="26"/>
        <v>388</v>
      </c>
      <c r="Q373">
        <f t="shared" ca="1" si="27"/>
        <v>401</v>
      </c>
      <c r="R373" t="str">
        <f t="shared" si="28"/>
        <v>Normal</v>
      </c>
      <c r="S373">
        <f t="shared" si="29"/>
        <v>0</v>
      </c>
    </row>
    <row r="374" spans="1:19" x14ac:dyDescent="0.35">
      <c r="A374" t="s">
        <v>385</v>
      </c>
      <c r="B374" t="s">
        <v>885</v>
      </c>
      <c r="C374" t="s">
        <v>1016</v>
      </c>
      <c r="D374" t="s">
        <v>1017</v>
      </c>
      <c r="E374" s="6">
        <v>77039</v>
      </c>
      <c r="F374" s="6">
        <v>23275.543444361421</v>
      </c>
      <c r="G374" t="s">
        <v>1023</v>
      </c>
      <c r="H374" s="3">
        <v>45310</v>
      </c>
      <c r="I374" s="3">
        <v>45146</v>
      </c>
      <c r="J374" s="3">
        <v>45511</v>
      </c>
      <c r="K374" t="s">
        <v>1025</v>
      </c>
      <c r="L374">
        <v>63</v>
      </c>
      <c r="M374" s="6">
        <v>2369</v>
      </c>
      <c r="O374">
        <f t="shared" si="25"/>
        <v>0.30199999999999999</v>
      </c>
      <c r="P374">
        <f t="shared" si="26"/>
        <v>365</v>
      </c>
      <c r="Q374">
        <f t="shared" ca="1" si="27"/>
        <v>653</v>
      </c>
      <c r="R374" t="str">
        <f t="shared" si="28"/>
        <v>High</v>
      </c>
      <c r="S374">
        <f t="shared" si="29"/>
        <v>23275.543444361421</v>
      </c>
    </row>
    <row r="375" spans="1:19" x14ac:dyDescent="0.35">
      <c r="A375" t="s">
        <v>386</v>
      </c>
      <c r="B375" t="s">
        <v>886</v>
      </c>
      <c r="C375" t="s">
        <v>1014</v>
      </c>
      <c r="D375" t="s">
        <v>1017</v>
      </c>
      <c r="E375" s="6">
        <v>62535</v>
      </c>
      <c r="F375" s="6">
        <v>34397.105038438072</v>
      </c>
      <c r="G375" t="s">
        <v>1023</v>
      </c>
      <c r="H375" s="3">
        <v>45321</v>
      </c>
      <c r="I375" s="3">
        <v>45192</v>
      </c>
      <c r="J375" s="3">
        <v>45459</v>
      </c>
      <c r="K375" t="s">
        <v>1026</v>
      </c>
      <c r="L375">
        <v>25</v>
      </c>
      <c r="M375" s="6">
        <v>3818</v>
      </c>
      <c r="O375">
        <f t="shared" si="25"/>
        <v>0.55000000000000004</v>
      </c>
      <c r="P375">
        <f t="shared" si="26"/>
        <v>267</v>
      </c>
      <c r="Q375">
        <f t="shared" ca="1" si="27"/>
        <v>642</v>
      </c>
      <c r="R375" t="str">
        <f t="shared" si="28"/>
        <v>High</v>
      </c>
      <c r="S375">
        <f t="shared" si="29"/>
        <v>34397.105038438072</v>
      </c>
    </row>
    <row r="376" spans="1:19" x14ac:dyDescent="0.35">
      <c r="A376" t="s">
        <v>387</v>
      </c>
      <c r="B376" t="s">
        <v>887</v>
      </c>
      <c r="C376" t="s">
        <v>1015</v>
      </c>
      <c r="D376" t="s">
        <v>1020</v>
      </c>
      <c r="E376" s="6">
        <v>86458</v>
      </c>
      <c r="F376" s="6">
        <v>23452.219007941279</v>
      </c>
      <c r="G376" t="s">
        <v>1023</v>
      </c>
      <c r="H376" s="3">
        <v>45364</v>
      </c>
      <c r="I376" s="3">
        <v>45283</v>
      </c>
      <c r="J376" s="3">
        <v>45330</v>
      </c>
      <c r="K376" t="s">
        <v>1026</v>
      </c>
      <c r="L376">
        <v>60</v>
      </c>
      <c r="M376" s="6">
        <v>4101</v>
      </c>
      <c r="O376">
        <f t="shared" si="25"/>
        <v>0.27100000000000002</v>
      </c>
      <c r="P376">
        <f t="shared" si="26"/>
        <v>47</v>
      </c>
      <c r="Q376">
        <f t="shared" ca="1" si="27"/>
        <v>599</v>
      </c>
      <c r="R376" t="str">
        <f t="shared" si="28"/>
        <v>High</v>
      </c>
      <c r="S376">
        <f t="shared" si="29"/>
        <v>23452.219007941279</v>
      </c>
    </row>
    <row r="377" spans="1:19" x14ac:dyDescent="0.35">
      <c r="A377" t="s">
        <v>388</v>
      </c>
      <c r="B377" t="s">
        <v>888</v>
      </c>
      <c r="C377" t="s">
        <v>1014</v>
      </c>
      <c r="D377" t="s">
        <v>1020</v>
      </c>
      <c r="E377" s="6">
        <v>14175</v>
      </c>
      <c r="F377" s="6">
        <v>82322.059328252784</v>
      </c>
      <c r="G377" t="s">
        <v>1023</v>
      </c>
      <c r="H377" s="3">
        <v>45538</v>
      </c>
      <c r="I377" s="3">
        <v>45273</v>
      </c>
      <c r="J377" s="3">
        <v>45426</v>
      </c>
      <c r="K377" t="s">
        <v>1025</v>
      </c>
      <c r="L377">
        <v>35</v>
      </c>
      <c r="M377" s="6">
        <v>14977</v>
      </c>
      <c r="O377">
        <f t="shared" si="25"/>
        <v>5.8079999999999998</v>
      </c>
      <c r="P377">
        <f t="shared" si="26"/>
        <v>153</v>
      </c>
      <c r="Q377">
        <f t="shared" ca="1" si="27"/>
        <v>425</v>
      </c>
      <c r="R377" t="str">
        <f t="shared" si="28"/>
        <v>Normal</v>
      </c>
      <c r="S377">
        <f t="shared" si="29"/>
        <v>82322.059328252784</v>
      </c>
    </row>
    <row r="378" spans="1:19" x14ac:dyDescent="0.35">
      <c r="A378" t="s">
        <v>389</v>
      </c>
      <c r="B378" t="s">
        <v>889</v>
      </c>
      <c r="C378" t="s">
        <v>1014</v>
      </c>
      <c r="D378" t="s">
        <v>1019</v>
      </c>
      <c r="E378" s="6">
        <v>56771</v>
      </c>
      <c r="F378" s="6">
        <v>64978.620964464542</v>
      </c>
      <c r="G378" t="s">
        <v>1023</v>
      </c>
      <c r="H378" s="3">
        <v>45352</v>
      </c>
      <c r="I378" s="3">
        <v>45262</v>
      </c>
      <c r="J378" s="3">
        <v>45404</v>
      </c>
      <c r="K378" t="s">
        <v>1025</v>
      </c>
      <c r="L378">
        <v>23</v>
      </c>
      <c r="M378" s="6">
        <v>5490</v>
      </c>
      <c r="O378">
        <f t="shared" si="25"/>
        <v>1.145</v>
      </c>
      <c r="P378">
        <f t="shared" si="26"/>
        <v>142</v>
      </c>
      <c r="Q378">
        <f t="shared" ca="1" si="27"/>
        <v>611</v>
      </c>
      <c r="R378" t="str">
        <f t="shared" si="28"/>
        <v>High</v>
      </c>
      <c r="S378">
        <f t="shared" si="29"/>
        <v>64978.620964464542</v>
      </c>
    </row>
    <row r="379" spans="1:19" x14ac:dyDescent="0.35">
      <c r="A379" t="s">
        <v>390</v>
      </c>
      <c r="B379" t="s">
        <v>890</v>
      </c>
      <c r="C379" t="s">
        <v>1015</v>
      </c>
      <c r="D379" t="s">
        <v>1018</v>
      </c>
      <c r="E379" s="6">
        <v>88925</v>
      </c>
      <c r="F379" s="6">
        <v>19976.188022207931</v>
      </c>
      <c r="G379" t="s">
        <v>1023</v>
      </c>
      <c r="H379" s="3">
        <v>45460</v>
      </c>
      <c r="I379" s="3">
        <v>44974</v>
      </c>
      <c r="J379" s="3">
        <v>45335</v>
      </c>
      <c r="K379" t="s">
        <v>1025</v>
      </c>
      <c r="L379">
        <v>54</v>
      </c>
      <c r="M379" s="6">
        <v>3779</v>
      </c>
      <c r="O379">
        <f t="shared" si="25"/>
        <v>0.22500000000000001</v>
      </c>
      <c r="P379">
        <f t="shared" si="26"/>
        <v>361</v>
      </c>
      <c r="Q379">
        <f t="shared" ca="1" si="27"/>
        <v>503</v>
      </c>
      <c r="R379" t="str">
        <f t="shared" si="28"/>
        <v>High</v>
      </c>
      <c r="S379">
        <f t="shared" si="29"/>
        <v>19976.188022207931</v>
      </c>
    </row>
    <row r="380" spans="1:19" x14ac:dyDescent="0.35">
      <c r="A380" t="s">
        <v>391</v>
      </c>
      <c r="B380" t="s">
        <v>891</v>
      </c>
      <c r="C380" t="s">
        <v>1016</v>
      </c>
      <c r="D380" t="s">
        <v>1017</v>
      </c>
      <c r="E380" s="6">
        <v>68358</v>
      </c>
      <c r="F380" s="6">
        <v>44449.864232188491</v>
      </c>
      <c r="G380" t="s">
        <v>1023</v>
      </c>
      <c r="H380" s="3">
        <v>45341</v>
      </c>
      <c r="I380" s="3">
        <v>45195</v>
      </c>
      <c r="J380" s="3">
        <v>45390</v>
      </c>
      <c r="K380" t="s">
        <v>1025</v>
      </c>
      <c r="L380">
        <v>67</v>
      </c>
      <c r="M380" s="6">
        <v>9674</v>
      </c>
      <c r="O380">
        <f t="shared" si="25"/>
        <v>0.65</v>
      </c>
      <c r="P380">
        <f t="shared" si="26"/>
        <v>195</v>
      </c>
      <c r="Q380">
        <f t="shared" ca="1" si="27"/>
        <v>622</v>
      </c>
      <c r="R380" t="str">
        <f t="shared" si="28"/>
        <v>High</v>
      </c>
      <c r="S380">
        <f t="shared" si="29"/>
        <v>44449.864232188491</v>
      </c>
    </row>
    <row r="381" spans="1:19" x14ac:dyDescent="0.35">
      <c r="A381" t="s">
        <v>392</v>
      </c>
      <c r="B381" t="s">
        <v>892</v>
      </c>
      <c r="C381" t="s">
        <v>1015</v>
      </c>
      <c r="D381" t="s">
        <v>1018</v>
      </c>
      <c r="E381" s="6">
        <v>19327</v>
      </c>
      <c r="F381" s="6">
        <v>26209.61215547975</v>
      </c>
      <c r="G381" t="s">
        <v>1023</v>
      </c>
      <c r="H381" s="3">
        <v>45505</v>
      </c>
      <c r="I381" s="3">
        <v>45221</v>
      </c>
      <c r="J381" s="3">
        <v>45521</v>
      </c>
      <c r="K381" t="s">
        <v>1026</v>
      </c>
      <c r="L381">
        <v>45</v>
      </c>
      <c r="M381" s="6">
        <v>3364</v>
      </c>
      <c r="O381">
        <f t="shared" si="25"/>
        <v>1.3560000000000001</v>
      </c>
      <c r="P381">
        <f t="shared" si="26"/>
        <v>300</v>
      </c>
      <c r="Q381">
        <f t="shared" ca="1" si="27"/>
        <v>458</v>
      </c>
      <c r="R381" t="str">
        <f t="shared" si="28"/>
        <v>Normal</v>
      </c>
      <c r="S381">
        <f t="shared" si="29"/>
        <v>26209.61215547975</v>
      </c>
    </row>
    <row r="382" spans="1:19" x14ac:dyDescent="0.35">
      <c r="A382" t="s">
        <v>393</v>
      </c>
      <c r="B382" t="s">
        <v>893</v>
      </c>
      <c r="C382" t="s">
        <v>1014</v>
      </c>
      <c r="D382" t="s">
        <v>1018</v>
      </c>
      <c r="E382" s="6">
        <v>49057</v>
      </c>
      <c r="F382" s="6">
        <v>53301.242304989733</v>
      </c>
      <c r="G382" t="s">
        <v>1024</v>
      </c>
      <c r="H382" s="3">
        <v>45437</v>
      </c>
      <c r="I382" s="3">
        <v>44954</v>
      </c>
      <c r="J382" s="3">
        <v>45550</v>
      </c>
      <c r="K382" t="s">
        <v>1025</v>
      </c>
      <c r="L382">
        <v>31</v>
      </c>
      <c r="M382" s="6">
        <v>9294</v>
      </c>
      <c r="O382">
        <f t="shared" si="25"/>
        <v>1.087</v>
      </c>
      <c r="P382">
        <f t="shared" si="26"/>
        <v>596</v>
      </c>
      <c r="Q382">
        <f t="shared" ca="1" si="27"/>
        <v>526</v>
      </c>
      <c r="R382" t="str">
        <f t="shared" si="28"/>
        <v>Normal</v>
      </c>
      <c r="S382">
        <f t="shared" si="29"/>
        <v>0</v>
      </c>
    </row>
    <row r="383" spans="1:19" x14ac:dyDescent="0.35">
      <c r="A383" t="s">
        <v>394</v>
      </c>
      <c r="B383" t="s">
        <v>894</v>
      </c>
      <c r="C383" t="s">
        <v>1016</v>
      </c>
      <c r="D383" t="s">
        <v>1019</v>
      </c>
      <c r="E383" s="6">
        <v>8150</v>
      </c>
      <c r="F383" s="6">
        <v>29116.19819069788</v>
      </c>
      <c r="G383" t="s">
        <v>1022</v>
      </c>
      <c r="H383" s="3">
        <v>45429</v>
      </c>
      <c r="I383" s="3">
        <v>45064</v>
      </c>
      <c r="J383" s="3">
        <v>45583</v>
      </c>
      <c r="K383" t="s">
        <v>1025</v>
      </c>
      <c r="L383">
        <v>30</v>
      </c>
      <c r="M383" s="6">
        <v>14654</v>
      </c>
      <c r="O383">
        <f t="shared" si="25"/>
        <v>3.573</v>
      </c>
      <c r="P383">
        <f t="shared" si="26"/>
        <v>519</v>
      </c>
      <c r="Q383">
        <f t="shared" ca="1" si="27"/>
        <v>534</v>
      </c>
      <c r="R383" t="str">
        <f t="shared" si="28"/>
        <v>Normal</v>
      </c>
      <c r="S383">
        <f t="shared" si="29"/>
        <v>29116.19819069788</v>
      </c>
    </row>
    <row r="384" spans="1:19" x14ac:dyDescent="0.35">
      <c r="A384" t="s">
        <v>395</v>
      </c>
      <c r="B384" t="s">
        <v>895</v>
      </c>
      <c r="C384" t="s">
        <v>1014</v>
      </c>
      <c r="D384" t="s">
        <v>1017</v>
      </c>
      <c r="E384" s="6">
        <v>6425</v>
      </c>
      <c r="F384" s="6">
        <v>43072.721276959353</v>
      </c>
      <c r="G384" t="s">
        <v>1022</v>
      </c>
      <c r="H384" s="3">
        <v>45357</v>
      </c>
      <c r="I384" s="3">
        <v>45172</v>
      </c>
      <c r="J384" s="3">
        <v>45555</v>
      </c>
      <c r="K384" t="s">
        <v>1026</v>
      </c>
      <c r="L384">
        <v>56</v>
      </c>
      <c r="M384" s="6">
        <v>13534</v>
      </c>
      <c r="O384">
        <f t="shared" si="25"/>
        <v>6.7039999999999997</v>
      </c>
      <c r="P384">
        <f t="shared" si="26"/>
        <v>383</v>
      </c>
      <c r="Q384">
        <f t="shared" ca="1" si="27"/>
        <v>606</v>
      </c>
      <c r="R384" t="str">
        <f t="shared" si="28"/>
        <v>Normal</v>
      </c>
      <c r="S384">
        <f t="shared" si="29"/>
        <v>43072.721276959353</v>
      </c>
    </row>
    <row r="385" spans="1:19" x14ac:dyDescent="0.35">
      <c r="A385" t="s">
        <v>396</v>
      </c>
      <c r="B385" t="s">
        <v>896</v>
      </c>
      <c r="C385" t="s">
        <v>1015</v>
      </c>
      <c r="D385" t="s">
        <v>1017</v>
      </c>
      <c r="E385" s="6">
        <v>18032</v>
      </c>
      <c r="F385" s="6">
        <v>34536.713462832347</v>
      </c>
      <c r="G385" t="s">
        <v>1022</v>
      </c>
      <c r="H385" s="3">
        <v>45317</v>
      </c>
      <c r="I385" s="3">
        <v>45224</v>
      </c>
      <c r="J385" s="3">
        <v>45491</v>
      </c>
      <c r="K385" t="s">
        <v>1025</v>
      </c>
      <c r="L385">
        <v>44</v>
      </c>
      <c r="M385" s="6">
        <v>14931</v>
      </c>
      <c r="O385">
        <f t="shared" si="25"/>
        <v>1.915</v>
      </c>
      <c r="P385">
        <f t="shared" si="26"/>
        <v>267</v>
      </c>
      <c r="Q385">
        <f t="shared" ca="1" si="27"/>
        <v>646</v>
      </c>
      <c r="R385" t="str">
        <f t="shared" si="28"/>
        <v>Normal</v>
      </c>
      <c r="S385">
        <f t="shared" si="29"/>
        <v>34536.713462832347</v>
      </c>
    </row>
    <row r="386" spans="1:19" x14ac:dyDescent="0.35">
      <c r="A386" t="s">
        <v>397</v>
      </c>
      <c r="B386" t="s">
        <v>897</v>
      </c>
      <c r="C386" t="s">
        <v>1015</v>
      </c>
      <c r="D386" t="s">
        <v>1021</v>
      </c>
      <c r="E386" s="6">
        <v>4198</v>
      </c>
      <c r="F386" s="6">
        <v>48800.651717921217</v>
      </c>
      <c r="G386" t="s">
        <v>1023</v>
      </c>
      <c r="H386" s="3">
        <v>45331</v>
      </c>
      <c r="I386" s="3">
        <v>44955</v>
      </c>
      <c r="J386" s="3">
        <v>45416</v>
      </c>
      <c r="K386" t="s">
        <v>1025</v>
      </c>
      <c r="L386">
        <v>37</v>
      </c>
      <c r="M386" s="6">
        <v>5676</v>
      </c>
      <c r="O386">
        <f t="shared" si="25"/>
        <v>11.625</v>
      </c>
      <c r="P386">
        <f t="shared" si="26"/>
        <v>461</v>
      </c>
      <c r="Q386">
        <f t="shared" ca="1" si="27"/>
        <v>632</v>
      </c>
      <c r="R386" t="str">
        <f t="shared" si="28"/>
        <v>Normal</v>
      </c>
      <c r="S386">
        <f t="shared" si="29"/>
        <v>48800.651717921217</v>
      </c>
    </row>
    <row r="387" spans="1:19" x14ac:dyDescent="0.35">
      <c r="A387" t="s">
        <v>398</v>
      </c>
      <c r="B387" t="s">
        <v>898</v>
      </c>
      <c r="C387" t="s">
        <v>1014</v>
      </c>
      <c r="D387" t="s">
        <v>1018</v>
      </c>
      <c r="E387" s="6">
        <v>62500</v>
      </c>
      <c r="F387" s="6">
        <v>27713.527627153911</v>
      </c>
      <c r="G387" t="s">
        <v>1023</v>
      </c>
      <c r="H387" s="3">
        <v>45309</v>
      </c>
      <c r="I387" s="3">
        <v>44958</v>
      </c>
      <c r="J387" s="3">
        <v>45559</v>
      </c>
      <c r="K387" t="s">
        <v>1025</v>
      </c>
      <c r="L387">
        <v>38</v>
      </c>
      <c r="M387" s="6">
        <v>4426</v>
      </c>
      <c r="O387">
        <f t="shared" ref="O387:O450" si="30">IF(E387=0, 0, ROUND(F387 / E387, 3))</f>
        <v>0.443</v>
      </c>
      <c r="P387">
        <f t="shared" ref="P387:P450" si="31">IF(AND(ISNUMBER(I387), ISNUMBER(J387)), DATEDIF(I387, J387, "D"), "")</f>
        <v>601</v>
      </c>
      <c r="Q387">
        <f t="shared" ref="Q387:Q450" ca="1" si="32">IF(ISNUMBER(H387), TODAY() - H387, "")</f>
        <v>654</v>
      </c>
      <c r="R387" t="str">
        <f t="shared" ref="R387:R450" si="33">IF(E387&gt;50000, "High","Normal")</f>
        <v>High</v>
      </c>
      <c r="S387">
        <f t="shared" ref="S387:S450" si="34">IF(G387="Rejected", 0, F387)</f>
        <v>27713.527627153911</v>
      </c>
    </row>
    <row r="388" spans="1:19" x14ac:dyDescent="0.35">
      <c r="A388" t="s">
        <v>399</v>
      </c>
      <c r="B388" t="s">
        <v>899</v>
      </c>
      <c r="C388" t="s">
        <v>1013</v>
      </c>
      <c r="D388" t="s">
        <v>1018</v>
      </c>
      <c r="E388" s="6">
        <v>55394</v>
      </c>
      <c r="F388" s="6">
        <v>5624.8191684231924</v>
      </c>
      <c r="G388" t="s">
        <v>1024</v>
      </c>
      <c r="H388" s="3">
        <v>45455</v>
      </c>
      <c r="I388" s="3">
        <v>45094</v>
      </c>
      <c r="J388" s="3">
        <v>45586</v>
      </c>
      <c r="K388" t="s">
        <v>1026</v>
      </c>
      <c r="L388">
        <v>42</v>
      </c>
      <c r="M388" s="6">
        <v>10264</v>
      </c>
      <c r="O388">
        <f t="shared" si="30"/>
        <v>0.10199999999999999</v>
      </c>
      <c r="P388">
        <f t="shared" si="31"/>
        <v>492</v>
      </c>
      <c r="Q388">
        <f t="shared" ca="1" si="32"/>
        <v>508</v>
      </c>
      <c r="R388" t="str">
        <f t="shared" si="33"/>
        <v>High</v>
      </c>
      <c r="S388">
        <f t="shared" si="34"/>
        <v>0</v>
      </c>
    </row>
    <row r="389" spans="1:19" x14ac:dyDescent="0.35">
      <c r="A389" t="s">
        <v>400</v>
      </c>
      <c r="B389" t="s">
        <v>900</v>
      </c>
      <c r="C389" t="s">
        <v>1013</v>
      </c>
      <c r="D389" t="s">
        <v>1020</v>
      </c>
      <c r="E389" s="6">
        <v>22079</v>
      </c>
      <c r="F389" s="6">
        <v>6686.5795748211312</v>
      </c>
      <c r="G389" t="s">
        <v>1023</v>
      </c>
      <c r="H389" s="3">
        <v>45496</v>
      </c>
      <c r="I389" s="3">
        <v>45280</v>
      </c>
      <c r="J389" s="3">
        <v>45613</v>
      </c>
      <c r="K389" t="s">
        <v>1025</v>
      </c>
      <c r="L389">
        <v>57</v>
      </c>
      <c r="M389" s="6">
        <v>10089</v>
      </c>
      <c r="O389">
        <f t="shared" si="30"/>
        <v>0.30299999999999999</v>
      </c>
      <c r="P389">
        <f t="shared" si="31"/>
        <v>333</v>
      </c>
      <c r="Q389">
        <f t="shared" ca="1" si="32"/>
        <v>467</v>
      </c>
      <c r="R389" t="str">
        <f t="shared" si="33"/>
        <v>Normal</v>
      </c>
      <c r="S389">
        <f t="shared" si="34"/>
        <v>6686.5795748211312</v>
      </c>
    </row>
    <row r="390" spans="1:19" x14ac:dyDescent="0.35">
      <c r="A390" t="s">
        <v>401</v>
      </c>
      <c r="B390" t="s">
        <v>901</v>
      </c>
      <c r="C390" t="s">
        <v>1015</v>
      </c>
      <c r="D390" t="s">
        <v>1021</v>
      </c>
      <c r="E390" s="6">
        <v>38220</v>
      </c>
      <c r="F390" s="6">
        <v>14185.45000654232</v>
      </c>
      <c r="G390" t="s">
        <v>1023</v>
      </c>
      <c r="H390" s="3">
        <v>45394</v>
      </c>
      <c r="I390" s="3">
        <v>45268</v>
      </c>
      <c r="J390" s="3">
        <v>45616</v>
      </c>
      <c r="K390" t="s">
        <v>1026</v>
      </c>
      <c r="L390">
        <v>37</v>
      </c>
      <c r="M390" s="6">
        <v>4962</v>
      </c>
      <c r="O390">
        <f t="shared" si="30"/>
        <v>0.371</v>
      </c>
      <c r="P390">
        <f t="shared" si="31"/>
        <v>348</v>
      </c>
      <c r="Q390">
        <f t="shared" ca="1" si="32"/>
        <v>569</v>
      </c>
      <c r="R390" t="str">
        <f t="shared" si="33"/>
        <v>Normal</v>
      </c>
      <c r="S390">
        <f t="shared" si="34"/>
        <v>14185.45000654232</v>
      </c>
    </row>
    <row r="391" spans="1:19" x14ac:dyDescent="0.35">
      <c r="A391" t="s">
        <v>402</v>
      </c>
      <c r="B391" t="s">
        <v>902</v>
      </c>
      <c r="C391" t="s">
        <v>1015</v>
      </c>
      <c r="D391" t="s">
        <v>1020</v>
      </c>
      <c r="E391" s="6">
        <v>43874</v>
      </c>
      <c r="F391" s="6">
        <v>20671.981888621991</v>
      </c>
      <c r="G391" t="s">
        <v>1023</v>
      </c>
      <c r="H391" s="3">
        <v>45328</v>
      </c>
      <c r="I391" s="3">
        <v>45131</v>
      </c>
      <c r="J391" s="3">
        <v>45475</v>
      </c>
      <c r="K391" t="s">
        <v>1026</v>
      </c>
      <c r="L391">
        <v>45</v>
      </c>
      <c r="M391" s="6">
        <v>2859</v>
      </c>
      <c r="O391">
        <f t="shared" si="30"/>
        <v>0.47099999999999997</v>
      </c>
      <c r="P391">
        <f t="shared" si="31"/>
        <v>344</v>
      </c>
      <c r="Q391">
        <f t="shared" ca="1" si="32"/>
        <v>635</v>
      </c>
      <c r="R391" t="str">
        <f t="shared" si="33"/>
        <v>Normal</v>
      </c>
      <c r="S391">
        <f t="shared" si="34"/>
        <v>20671.981888621991</v>
      </c>
    </row>
    <row r="392" spans="1:19" x14ac:dyDescent="0.35">
      <c r="A392" t="s">
        <v>403</v>
      </c>
      <c r="B392" t="s">
        <v>903</v>
      </c>
      <c r="C392" t="s">
        <v>1013</v>
      </c>
      <c r="D392" t="s">
        <v>1020</v>
      </c>
      <c r="E392" s="6">
        <v>15859</v>
      </c>
      <c r="F392" s="6">
        <v>0</v>
      </c>
      <c r="G392" t="s">
        <v>1023</v>
      </c>
      <c r="H392" s="3">
        <v>45468</v>
      </c>
      <c r="I392" s="3">
        <v>45207</v>
      </c>
      <c r="J392" s="3">
        <v>45432</v>
      </c>
      <c r="K392" t="s">
        <v>1025</v>
      </c>
      <c r="L392">
        <v>25</v>
      </c>
      <c r="M392" s="6">
        <v>14048</v>
      </c>
      <c r="O392">
        <f t="shared" si="30"/>
        <v>0</v>
      </c>
      <c r="P392">
        <f t="shared" si="31"/>
        <v>225</v>
      </c>
      <c r="Q392">
        <f t="shared" ca="1" si="32"/>
        <v>495</v>
      </c>
      <c r="R392" t="str">
        <f t="shared" si="33"/>
        <v>Normal</v>
      </c>
      <c r="S392">
        <f t="shared" si="34"/>
        <v>0</v>
      </c>
    </row>
    <row r="393" spans="1:19" x14ac:dyDescent="0.35">
      <c r="A393" t="s">
        <v>404</v>
      </c>
      <c r="B393" t="s">
        <v>904</v>
      </c>
      <c r="C393" t="s">
        <v>1013</v>
      </c>
      <c r="D393" t="s">
        <v>1020</v>
      </c>
      <c r="E393" s="6">
        <v>52460</v>
      </c>
      <c r="F393" s="6">
        <v>0</v>
      </c>
      <c r="G393" t="s">
        <v>1023</v>
      </c>
      <c r="H393" s="3">
        <v>45562</v>
      </c>
      <c r="I393" s="3">
        <v>45027</v>
      </c>
      <c r="J393" s="3">
        <v>45460</v>
      </c>
      <c r="K393" t="s">
        <v>1025</v>
      </c>
      <c r="L393">
        <v>23</v>
      </c>
      <c r="M393" s="6">
        <v>6138</v>
      </c>
      <c r="O393">
        <f t="shared" si="30"/>
        <v>0</v>
      </c>
      <c r="P393">
        <f t="shared" si="31"/>
        <v>433</v>
      </c>
      <c r="Q393">
        <f t="shared" ca="1" si="32"/>
        <v>401</v>
      </c>
      <c r="R393" t="str">
        <f t="shared" si="33"/>
        <v>High</v>
      </c>
      <c r="S393">
        <f t="shared" si="34"/>
        <v>0</v>
      </c>
    </row>
    <row r="394" spans="1:19" x14ac:dyDescent="0.35">
      <c r="A394" t="s">
        <v>405</v>
      </c>
      <c r="B394" t="s">
        <v>905</v>
      </c>
      <c r="C394" t="s">
        <v>1014</v>
      </c>
      <c r="D394" t="s">
        <v>1019</v>
      </c>
      <c r="E394" s="6">
        <v>33419</v>
      </c>
      <c r="F394" s="6">
        <v>36900.270716568462</v>
      </c>
      <c r="G394" t="s">
        <v>1022</v>
      </c>
      <c r="H394" s="3">
        <v>45499</v>
      </c>
      <c r="I394" s="3">
        <v>45015</v>
      </c>
      <c r="J394" s="3">
        <v>45642</v>
      </c>
      <c r="K394" t="s">
        <v>1025</v>
      </c>
      <c r="L394">
        <v>63</v>
      </c>
      <c r="M394" s="6">
        <v>4424</v>
      </c>
      <c r="O394">
        <f t="shared" si="30"/>
        <v>1.1040000000000001</v>
      </c>
      <c r="P394">
        <f t="shared" si="31"/>
        <v>627</v>
      </c>
      <c r="Q394">
        <f t="shared" ca="1" si="32"/>
        <v>464</v>
      </c>
      <c r="R394" t="str">
        <f t="shared" si="33"/>
        <v>Normal</v>
      </c>
      <c r="S394">
        <f t="shared" si="34"/>
        <v>36900.270716568462</v>
      </c>
    </row>
    <row r="395" spans="1:19" x14ac:dyDescent="0.35">
      <c r="A395" t="s">
        <v>406</v>
      </c>
      <c r="B395" t="s">
        <v>906</v>
      </c>
      <c r="C395" t="s">
        <v>1014</v>
      </c>
      <c r="D395" t="s">
        <v>1019</v>
      </c>
      <c r="E395" s="6">
        <v>10705</v>
      </c>
      <c r="F395" s="6">
        <v>22141.800973180609</v>
      </c>
      <c r="G395" t="s">
        <v>1023</v>
      </c>
      <c r="H395" s="3">
        <v>45494</v>
      </c>
      <c r="I395" s="3">
        <v>45199</v>
      </c>
      <c r="J395" s="3">
        <v>45466</v>
      </c>
      <c r="K395" t="s">
        <v>1025</v>
      </c>
      <c r="L395">
        <v>48</v>
      </c>
      <c r="M395" s="6">
        <v>11256</v>
      </c>
      <c r="O395">
        <f t="shared" si="30"/>
        <v>2.0680000000000001</v>
      </c>
      <c r="P395">
        <f t="shared" si="31"/>
        <v>267</v>
      </c>
      <c r="Q395">
        <f t="shared" ca="1" si="32"/>
        <v>469</v>
      </c>
      <c r="R395" t="str">
        <f t="shared" si="33"/>
        <v>Normal</v>
      </c>
      <c r="S395">
        <f t="shared" si="34"/>
        <v>22141.800973180609</v>
      </c>
    </row>
    <row r="396" spans="1:19" x14ac:dyDescent="0.35">
      <c r="A396" t="s">
        <v>407</v>
      </c>
      <c r="B396" t="s">
        <v>907</v>
      </c>
      <c r="C396" t="s">
        <v>1013</v>
      </c>
      <c r="D396" t="s">
        <v>1020</v>
      </c>
      <c r="E396" s="6">
        <v>44880</v>
      </c>
      <c r="F396" s="6">
        <v>50106.545011141578</v>
      </c>
      <c r="G396" t="s">
        <v>1023</v>
      </c>
      <c r="H396" s="3">
        <v>45518</v>
      </c>
      <c r="I396" s="3">
        <v>45032</v>
      </c>
      <c r="J396" s="3">
        <v>45407</v>
      </c>
      <c r="K396" t="s">
        <v>1026</v>
      </c>
      <c r="L396">
        <v>53</v>
      </c>
      <c r="M396" s="6">
        <v>12409</v>
      </c>
      <c r="O396">
        <f t="shared" si="30"/>
        <v>1.1160000000000001</v>
      </c>
      <c r="P396">
        <f t="shared" si="31"/>
        <v>375</v>
      </c>
      <c r="Q396">
        <f t="shared" ca="1" si="32"/>
        <v>445</v>
      </c>
      <c r="R396" t="str">
        <f t="shared" si="33"/>
        <v>Normal</v>
      </c>
      <c r="S396">
        <f t="shared" si="34"/>
        <v>50106.545011141578</v>
      </c>
    </row>
    <row r="397" spans="1:19" x14ac:dyDescent="0.35">
      <c r="A397" t="s">
        <v>408</v>
      </c>
      <c r="B397" t="s">
        <v>908</v>
      </c>
      <c r="C397" t="s">
        <v>1014</v>
      </c>
      <c r="D397" t="s">
        <v>1021</v>
      </c>
      <c r="E397" s="6">
        <v>25236</v>
      </c>
      <c r="F397" s="6">
        <v>80804.767325026274</v>
      </c>
      <c r="G397" t="s">
        <v>1024</v>
      </c>
      <c r="H397" s="3">
        <v>45454</v>
      </c>
      <c r="I397" s="3">
        <v>45282</v>
      </c>
      <c r="J397" s="3">
        <v>45395</v>
      </c>
      <c r="K397" t="s">
        <v>1025</v>
      </c>
      <c r="L397">
        <v>36</v>
      </c>
      <c r="M397" s="6">
        <v>6017</v>
      </c>
      <c r="O397">
        <f t="shared" si="30"/>
        <v>3.202</v>
      </c>
      <c r="P397">
        <f t="shared" si="31"/>
        <v>113</v>
      </c>
      <c r="Q397">
        <f t="shared" ca="1" si="32"/>
        <v>509</v>
      </c>
      <c r="R397" t="str">
        <f t="shared" si="33"/>
        <v>Normal</v>
      </c>
      <c r="S397">
        <f t="shared" si="34"/>
        <v>0</v>
      </c>
    </row>
    <row r="398" spans="1:19" x14ac:dyDescent="0.35">
      <c r="A398" t="s">
        <v>409</v>
      </c>
      <c r="B398" t="s">
        <v>909</v>
      </c>
      <c r="C398" t="s">
        <v>1014</v>
      </c>
      <c r="D398" t="s">
        <v>1018</v>
      </c>
      <c r="E398" s="6">
        <v>89955</v>
      </c>
      <c r="F398" s="6">
        <v>19804.23695626466</v>
      </c>
      <c r="G398" t="s">
        <v>1023</v>
      </c>
      <c r="H398" s="3">
        <v>45570</v>
      </c>
      <c r="I398" s="3">
        <v>44983</v>
      </c>
      <c r="J398" s="3">
        <v>45297</v>
      </c>
      <c r="K398" t="s">
        <v>1025</v>
      </c>
      <c r="L398">
        <v>62</v>
      </c>
      <c r="M398" s="6">
        <v>12451</v>
      </c>
      <c r="O398">
        <f t="shared" si="30"/>
        <v>0.22</v>
      </c>
      <c r="P398">
        <f t="shared" si="31"/>
        <v>314</v>
      </c>
      <c r="Q398">
        <f t="shared" ca="1" si="32"/>
        <v>393</v>
      </c>
      <c r="R398" t="str">
        <f t="shared" si="33"/>
        <v>High</v>
      </c>
      <c r="S398">
        <f t="shared" si="34"/>
        <v>19804.23695626466</v>
      </c>
    </row>
    <row r="399" spans="1:19" x14ac:dyDescent="0.35">
      <c r="A399" t="s">
        <v>410</v>
      </c>
      <c r="B399" t="s">
        <v>910</v>
      </c>
      <c r="C399" t="s">
        <v>1016</v>
      </c>
      <c r="D399" t="s">
        <v>1021</v>
      </c>
      <c r="E399" s="6">
        <v>87514</v>
      </c>
      <c r="F399" s="6">
        <v>25860.251723095069</v>
      </c>
      <c r="G399" t="s">
        <v>1023</v>
      </c>
      <c r="H399" s="3">
        <v>45584</v>
      </c>
      <c r="I399" s="3">
        <v>45202</v>
      </c>
      <c r="J399" s="3">
        <v>45612</v>
      </c>
      <c r="K399" t="s">
        <v>1025</v>
      </c>
      <c r="L399">
        <v>62</v>
      </c>
      <c r="M399" s="6">
        <v>13943</v>
      </c>
      <c r="O399">
        <f t="shared" si="30"/>
        <v>0.29499999999999998</v>
      </c>
      <c r="P399">
        <f t="shared" si="31"/>
        <v>410</v>
      </c>
      <c r="Q399">
        <f t="shared" ca="1" si="32"/>
        <v>379</v>
      </c>
      <c r="R399" t="str">
        <f t="shared" si="33"/>
        <v>High</v>
      </c>
      <c r="S399">
        <f t="shared" si="34"/>
        <v>25860.251723095069</v>
      </c>
    </row>
    <row r="400" spans="1:19" x14ac:dyDescent="0.35">
      <c r="A400" t="s">
        <v>411</v>
      </c>
      <c r="B400" t="s">
        <v>911</v>
      </c>
      <c r="C400" t="s">
        <v>1014</v>
      </c>
      <c r="D400" t="s">
        <v>1017</v>
      </c>
      <c r="E400" s="6">
        <v>17358</v>
      </c>
      <c r="F400" s="6">
        <v>19768.127524997501</v>
      </c>
      <c r="G400" t="s">
        <v>1023</v>
      </c>
      <c r="H400" s="3">
        <v>45341</v>
      </c>
      <c r="I400" s="3">
        <v>44962</v>
      </c>
      <c r="J400" s="3">
        <v>45443</v>
      </c>
      <c r="K400" t="s">
        <v>1026</v>
      </c>
      <c r="L400">
        <v>35</v>
      </c>
      <c r="M400" s="6">
        <v>12278</v>
      </c>
      <c r="O400">
        <f t="shared" si="30"/>
        <v>1.139</v>
      </c>
      <c r="P400">
        <f t="shared" si="31"/>
        <v>481</v>
      </c>
      <c r="Q400">
        <f t="shared" ca="1" si="32"/>
        <v>622</v>
      </c>
      <c r="R400" t="str">
        <f t="shared" si="33"/>
        <v>Normal</v>
      </c>
      <c r="S400">
        <f t="shared" si="34"/>
        <v>19768.127524997501</v>
      </c>
    </row>
    <row r="401" spans="1:19" x14ac:dyDescent="0.35">
      <c r="A401" t="s">
        <v>412</v>
      </c>
      <c r="B401" t="s">
        <v>912</v>
      </c>
      <c r="C401" t="s">
        <v>1015</v>
      </c>
      <c r="D401" t="s">
        <v>1019</v>
      </c>
      <c r="E401" s="6">
        <v>96914</v>
      </c>
      <c r="F401" s="6">
        <v>19614.183619451731</v>
      </c>
      <c r="G401" t="s">
        <v>1022</v>
      </c>
      <c r="H401" s="3">
        <v>45518</v>
      </c>
      <c r="I401" s="3">
        <v>44953</v>
      </c>
      <c r="J401" s="3">
        <v>45379</v>
      </c>
      <c r="K401" t="s">
        <v>1025</v>
      </c>
      <c r="L401">
        <v>21</v>
      </c>
      <c r="M401" s="6">
        <v>10560</v>
      </c>
      <c r="O401">
        <f t="shared" si="30"/>
        <v>0.20200000000000001</v>
      </c>
      <c r="P401">
        <f t="shared" si="31"/>
        <v>426</v>
      </c>
      <c r="Q401">
        <f t="shared" ca="1" si="32"/>
        <v>445</v>
      </c>
      <c r="R401" t="str">
        <f t="shared" si="33"/>
        <v>High</v>
      </c>
      <c r="S401">
        <f t="shared" si="34"/>
        <v>19614.183619451731</v>
      </c>
    </row>
    <row r="402" spans="1:19" x14ac:dyDescent="0.35">
      <c r="A402" t="s">
        <v>413</v>
      </c>
      <c r="B402" t="s">
        <v>913</v>
      </c>
      <c r="C402" t="s">
        <v>1014</v>
      </c>
      <c r="D402" t="s">
        <v>1018</v>
      </c>
      <c r="E402" s="6">
        <v>78918</v>
      </c>
      <c r="F402" s="6">
        <v>67594.266105139293</v>
      </c>
      <c r="G402" t="s">
        <v>1024</v>
      </c>
      <c r="H402" s="3">
        <v>45405</v>
      </c>
      <c r="I402" s="3">
        <v>45032</v>
      </c>
      <c r="J402" s="3">
        <v>45552</v>
      </c>
      <c r="K402" t="s">
        <v>1025</v>
      </c>
      <c r="L402">
        <v>53</v>
      </c>
      <c r="M402" s="6">
        <v>12996</v>
      </c>
      <c r="O402">
        <f t="shared" si="30"/>
        <v>0.85699999999999998</v>
      </c>
      <c r="P402">
        <f t="shared" si="31"/>
        <v>520</v>
      </c>
      <c r="Q402">
        <f t="shared" ca="1" si="32"/>
        <v>558</v>
      </c>
      <c r="R402" t="str">
        <f t="shared" si="33"/>
        <v>High</v>
      </c>
      <c r="S402">
        <f t="shared" si="34"/>
        <v>0</v>
      </c>
    </row>
    <row r="403" spans="1:19" x14ac:dyDescent="0.35">
      <c r="A403" t="s">
        <v>414</v>
      </c>
      <c r="B403" t="s">
        <v>914</v>
      </c>
      <c r="C403" t="s">
        <v>1014</v>
      </c>
      <c r="D403" t="s">
        <v>1018</v>
      </c>
      <c r="E403" s="6">
        <v>16596</v>
      </c>
      <c r="F403" s="6">
        <v>19598.403245814719</v>
      </c>
      <c r="G403" t="s">
        <v>1023</v>
      </c>
      <c r="H403" s="3">
        <v>45561</v>
      </c>
      <c r="I403" s="3">
        <v>45268</v>
      </c>
      <c r="J403" s="3">
        <v>45592</v>
      </c>
      <c r="K403" t="s">
        <v>1026</v>
      </c>
      <c r="L403">
        <v>27</v>
      </c>
      <c r="M403" s="6">
        <v>10342</v>
      </c>
      <c r="O403">
        <f t="shared" si="30"/>
        <v>1.181</v>
      </c>
      <c r="P403">
        <f t="shared" si="31"/>
        <v>324</v>
      </c>
      <c r="Q403">
        <f t="shared" ca="1" si="32"/>
        <v>402</v>
      </c>
      <c r="R403" t="str">
        <f t="shared" si="33"/>
        <v>Normal</v>
      </c>
      <c r="S403">
        <f t="shared" si="34"/>
        <v>19598.403245814719</v>
      </c>
    </row>
    <row r="404" spans="1:19" x14ac:dyDescent="0.35">
      <c r="A404" t="s">
        <v>415</v>
      </c>
      <c r="B404" t="s">
        <v>915</v>
      </c>
      <c r="C404" t="s">
        <v>1013</v>
      </c>
      <c r="D404" t="s">
        <v>1017</v>
      </c>
      <c r="E404" s="6">
        <v>35572</v>
      </c>
      <c r="F404" s="6">
        <v>37965.311700110316</v>
      </c>
      <c r="G404" t="s">
        <v>1022</v>
      </c>
      <c r="H404" s="3">
        <v>45410</v>
      </c>
      <c r="I404" s="3">
        <v>45166</v>
      </c>
      <c r="J404" s="3">
        <v>45380</v>
      </c>
      <c r="K404" t="s">
        <v>1026</v>
      </c>
      <c r="L404">
        <v>32</v>
      </c>
      <c r="M404" s="6">
        <v>3134</v>
      </c>
      <c r="O404">
        <f t="shared" si="30"/>
        <v>1.0669999999999999</v>
      </c>
      <c r="P404">
        <f t="shared" si="31"/>
        <v>214</v>
      </c>
      <c r="Q404">
        <f t="shared" ca="1" si="32"/>
        <v>553</v>
      </c>
      <c r="R404" t="str">
        <f t="shared" si="33"/>
        <v>Normal</v>
      </c>
      <c r="S404">
        <f t="shared" si="34"/>
        <v>37965.311700110316</v>
      </c>
    </row>
    <row r="405" spans="1:19" x14ac:dyDescent="0.35">
      <c r="A405" t="s">
        <v>416</v>
      </c>
      <c r="B405" t="s">
        <v>916</v>
      </c>
      <c r="C405" t="s">
        <v>1015</v>
      </c>
      <c r="D405" t="s">
        <v>1017</v>
      </c>
      <c r="E405" s="6">
        <v>80757</v>
      </c>
      <c r="F405" s="6">
        <v>4614.5826399980879</v>
      </c>
      <c r="G405" t="s">
        <v>1023</v>
      </c>
      <c r="H405" s="3">
        <v>45337</v>
      </c>
      <c r="I405" s="3">
        <v>45082</v>
      </c>
      <c r="J405" s="3">
        <v>45331</v>
      </c>
      <c r="K405" t="s">
        <v>1025</v>
      </c>
      <c r="L405">
        <v>61</v>
      </c>
      <c r="M405" s="6">
        <v>7166</v>
      </c>
      <c r="O405">
        <f t="shared" si="30"/>
        <v>5.7000000000000002E-2</v>
      </c>
      <c r="P405">
        <f t="shared" si="31"/>
        <v>249</v>
      </c>
      <c r="Q405">
        <f t="shared" ca="1" si="32"/>
        <v>626</v>
      </c>
      <c r="R405" t="str">
        <f t="shared" si="33"/>
        <v>High</v>
      </c>
      <c r="S405">
        <f t="shared" si="34"/>
        <v>4614.5826399980879</v>
      </c>
    </row>
    <row r="406" spans="1:19" x14ac:dyDescent="0.35">
      <c r="A406" t="s">
        <v>417</v>
      </c>
      <c r="B406" t="s">
        <v>917</v>
      </c>
      <c r="C406" t="s">
        <v>1014</v>
      </c>
      <c r="D406" t="s">
        <v>1020</v>
      </c>
      <c r="E406" s="6">
        <v>3279</v>
      </c>
      <c r="F406" s="6">
        <v>32283.129559060249</v>
      </c>
      <c r="G406" t="s">
        <v>1024</v>
      </c>
      <c r="H406" s="3">
        <v>45293</v>
      </c>
      <c r="I406" s="3">
        <v>44937</v>
      </c>
      <c r="J406" s="3">
        <v>45305</v>
      </c>
      <c r="K406" t="s">
        <v>1025</v>
      </c>
      <c r="L406">
        <v>27</v>
      </c>
      <c r="M406" s="6">
        <v>7119</v>
      </c>
      <c r="O406">
        <f t="shared" si="30"/>
        <v>9.8450000000000006</v>
      </c>
      <c r="P406">
        <f t="shared" si="31"/>
        <v>368</v>
      </c>
      <c r="Q406">
        <f t="shared" ca="1" si="32"/>
        <v>670</v>
      </c>
      <c r="R406" t="str">
        <f t="shared" si="33"/>
        <v>Normal</v>
      </c>
      <c r="S406">
        <f t="shared" si="34"/>
        <v>0</v>
      </c>
    </row>
    <row r="407" spans="1:19" x14ac:dyDescent="0.35">
      <c r="A407" t="s">
        <v>418</v>
      </c>
      <c r="B407" t="s">
        <v>918</v>
      </c>
      <c r="C407" t="s">
        <v>1014</v>
      </c>
      <c r="D407" t="s">
        <v>1019</v>
      </c>
      <c r="E407" s="6">
        <v>65197</v>
      </c>
      <c r="F407" s="6">
        <v>57737.137596013752</v>
      </c>
      <c r="G407" t="s">
        <v>1022</v>
      </c>
      <c r="H407" s="3">
        <v>45449</v>
      </c>
      <c r="I407" s="3">
        <v>45238</v>
      </c>
      <c r="J407" s="3">
        <v>45404</v>
      </c>
      <c r="K407" t="s">
        <v>1025</v>
      </c>
      <c r="L407">
        <v>49</v>
      </c>
      <c r="M407" s="6">
        <v>7694</v>
      </c>
      <c r="O407">
        <f t="shared" si="30"/>
        <v>0.88600000000000001</v>
      </c>
      <c r="P407">
        <f t="shared" si="31"/>
        <v>166</v>
      </c>
      <c r="Q407">
        <f t="shared" ca="1" si="32"/>
        <v>514</v>
      </c>
      <c r="R407" t="str">
        <f t="shared" si="33"/>
        <v>High</v>
      </c>
      <c r="S407">
        <f t="shared" si="34"/>
        <v>57737.137596013752</v>
      </c>
    </row>
    <row r="408" spans="1:19" x14ac:dyDescent="0.35">
      <c r="A408" t="s">
        <v>419</v>
      </c>
      <c r="B408" t="s">
        <v>919</v>
      </c>
      <c r="C408" t="s">
        <v>1016</v>
      </c>
      <c r="D408" t="s">
        <v>1019</v>
      </c>
      <c r="E408" s="6">
        <v>64516</v>
      </c>
      <c r="F408" s="6">
        <v>0</v>
      </c>
      <c r="G408" t="s">
        <v>1022</v>
      </c>
      <c r="H408" s="3">
        <v>45470</v>
      </c>
      <c r="I408" s="3">
        <v>45017</v>
      </c>
      <c r="J408" s="3">
        <v>45292</v>
      </c>
      <c r="K408" t="s">
        <v>1025</v>
      </c>
      <c r="L408">
        <v>51</v>
      </c>
      <c r="M408" s="6">
        <v>12976</v>
      </c>
      <c r="O408">
        <f t="shared" si="30"/>
        <v>0</v>
      </c>
      <c r="P408">
        <f t="shared" si="31"/>
        <v>275</v>
      </c>
      <c r="Q408">
        <f t="shared" ca="1" si="32"/>
        <v>493</v>
      </c>
      <c r="R408" t="str">
        <f t="shared" si="33"/>
        <v>High</v>
      </c>
      <c r="S408">
        <f t="shared" si="34"/>
        <v>0</v>
      </c>
    </row>
    <row r="409" spans="1:19" x14ac:dyDescent="0.35">
      <c r="A409" t="s">
        <v>420</v>
      </c>
      <c r="B409" t="s">
        <v>920</v>
      </c>
      <c r="C409" t="s">
        <v>1014</v>
      </c>
      <c r="D409" t="s">
        <v>1021</v>
      </c>
      <c r="E409" s="6">
        <v>9083</v>
      </c>
      <c r="F409" s="6">
        <v>41042.800789624402</v>
      </c>
      <c r="G409" t="s">
        <v>1023</v>
      </c>
      <c r="H409" s="3">
        <v>45328</v>
      </c>
      <c r="I409" s="3">
        <v>45286</v>
      </c>
      <c r="J409" s="3">
        <v>45596</v>
      </c>
      <c r="K409" t="s">
        <v>1025</v>
      </c>
      <c r="L409">
        <v>55</v>
      </c>
      <c r="M409" s="6">
        <v>8136</v>
      </c>
      <c r="O409">
        <f t="shared" si="30"/>
        <v>4.5190000000000001</v>
      </c>
      <c r="P409">
        <f t="shared" si="31"/>
        <v>310</v>
      </c>
      <c r="Q409">
        <f t="shared" ca="1" si="32"/>
        <v>635</v>
      </c>
      <c r="R409" t="str">
        <f t="shared" si="33"/>
        <v>Normal</v>
      </c>
      <c r="S409">
        <f t="shared" si="34"/>
        <v>41042.800789624402</v>
      </c>
    </row>
    <row r="410" spans="1:19" x14ac:dyDescent="0.35">
      <c r="A410" t="s">
        <v>421</v>
      </c>
      <c r="B410" t="s">
        <v>921</v>
      </c>
      <c r="C410" t="s">
        <v>1014</v>
      </c>
      <c r="D410" t="s">
        <v>1020</v>
      </c>
      <c r="E410" s="6">
        <v>19771</v>
      </c>
      <c r="F410" s="6">
        <v>69785.334350182122</v>
      </c>
      <c r="G410" t="s">
        <v>1024</v>
      </c>
      <c r="H410" s="3">
        <v>45474</v>
      </c>
      <c r="I410" s="3">
        <v>44946</v>
      </c>
      <c r="J410" s="3">
        <v>45513</v>
      </c>
      <c r="K410" t="s">
        <v>1026</v>
      </c>
      <c r="L410">
        <v>66</v>
      </c>
      <c r="M410" s="6">
        <v>7485</v>
      </c>
      <c r="O410">
        <f t="shared" si="30"/>
        <v>3.53</v>
      </c>
      <c r="P410">
        <f t="shared" si="31"/>
        <v>567</v>
      </c>
      <c r="Q410">
        <f t="shared" ca="1" si="32"/>
        <v>489</v>
      </c>
      <c r="R410" t="str">
        <f t="shared" si="33"/>
        <v>Normal</v>
      </c>
      <c r="S410">
        <f t="shared" si="34"/>
        <v>0</v>
      </c>
    </row>
    <row r="411" spans="1:19" x14ac:dyDescent="0.35">
      <c r="A411" t="s">
        <v>422</v>
      </c>
      <c r="B411" t="s">
        <v>922</v>
      </c>
      <c r="C411" t="s">
        <v>1016</v>
      </c>
      <c r="D411" t="s">
        <v>1020</v>
      </c>
      <c r="E411" s="6">
        <v>31975</v>
      </c>
      <c r="F411" s="6">
        <v>0</v>
      </c>
      <c r="G411" t="s">
        <v>1022</v>
      </c>
      <c r="H411" s="3">
        <v>45503</v>
      </c>
      <c r="I411" s="3">
        <v>44955</v>
      </c>
      <c r="J411" s="3">
        <v>45401</v>
      </c>
      <c r="K411" t="s">
        <v>1026</v>
      </c>
      <c r="L411">
        <v>49</v>
      </c>
      <c r="M411" s="6">
        <v>6164</v>
      </c>
      <c r="O411">
        <f t="shared" si="30"/>
        <v>0</v>
      </c>
      <c r="P411">
        <f t="shared" si="31"/>
        <v>446</v>
      </c>
      <c r="Q411">
        <f t="shared" ca="1" si="32"/>
        <v>460</v>
      </c>
      <c r="R411" t="str">
        <f t="shared" si="33"/>
        <v>Normal</v>
      </c>
      <c r="S411">
        <f t="shared" si="34"/>
        <v>0</v>
      </c>
    </row>
    <row r="412" spans="1:19" x14ac:dyDescent="0.35">
      <c r="A412" t="s">
        <v>423</v>
      </c>
      <c r="B412" t="s">
        <v>923</v>
      </c>
      <c r="C412" t="s">
        <v>1013</v>
      </c>
      <c r="D412" t="s">
        <v>1020</v>
      </c>
      <c r="E412" s="6">
        <v>47648</v>
      </c>
      <c r="F412" s="6">
        <v>18347.14927872143</v>
      </c>
      <c r="G412" t="s">
        <v>1023</v>
      </c>
      <c r="H412" s="3">
        <v>45442</v>
      </c>
      <c r="I412" s="3">
        <v>45156</v>
      </c>
      <c r="J412" s="3">
        <v>45527</v>
      </c>
      <c r="K412" t="s">
        <v>1025</v>
      </c>
      <c r="L412">
        <v>20</v>
      </c>
      <c r="M412" s="6">
        <v>4346</v>
      </c>
      <c r="O412">
        <f t="shared" si="30"/>
        <v>0.38500000000000001</v>
      </c>
      <c r="P412">
        <f t="shared" si="31"/>
        <v>371</v>
      </c>
      <c r="Q412">
        <f t="shared" ca="1" si="32"/>
        <v>521</v>
      </c>
      <c r="R412" t="str">
        <f t="shared" si="33"/>
        <v>Normal</v>
      </c>
      <c r="S412">
        <f t="shared" si="34"/>
        <v>18347.14927872143</v>
      </c>
    </row>
    <row r="413" spans="1:19" x14ac:dyDescent="0.35">
      <c r="A413" t="s">
        <v>424</v>
      </c>
      <c r="B413" t="s">
        <v>924</v>
      </c>
      <c r="C413" t="s">
        <v>1014</v>
      </c>
      <c r="D413" t="s">
        <v>1020</v>
      </c>
      <c r="E413" s="6">
        <v>50285</v>
      </c>
      <c r="F413" s="6">
        <v>0</v>
      </c>
      <c r="G413" t="s">
        <v>1022</v>
      </c>
      <c r="H413" s="3">
        <v>45503</v>
      </c>
      <c r="I413" s="3">
        <v>45273</v>
      </c>
      <c r="J413" s="3">
        <v>45442</v>
      </c>
      <c r="K413" t="s">
        <v>1025</v>
      </c>
      <c r="L413">
        <v>62</v>
      </c>
      <c r="M413" s="6">
        <v>7039</v>
      </c>
      <c r="O413">
        <f t="shared" si="30"/>
        <v>0</v>
      </c>
      <c r="P413">
        <f t="shared" si="31"/>
        <v>169</v>
      </c>
      <c r="Q413">
        <f t="shared" ca="1" si="32"/>
        <v>460</v>
      </c>
      <c r="R413" t="str">
        <f t="shared" si="33"/>
        <v>High</v>
      </c>
      <c r="S413">
        <f t="shared" si="34"/>
        <v>0</v>
      </c>
    </row>
    <row r="414" spans="1:19" x14ac:dyDescent="0.35">
      <c r="A414" t="s">
        <v>425</v>
      </c>
      <c r="B414" t="s">
        <v>925</v>
      </c>
      <c r="C414" t="s">
        <v>1016</v>
      </c>
      <c r="D414" t="s">
        <v>1019</v>
      </c>
      <c r="E414" s="6">
        <v>21063</v>
      </c>
      <c r="F414" s="6">
        <v>42593.502880276057</v>
      </c>
      <c r="G414" t="s">
        <v>1023</v>
      </c>
      <c r="H414" s="3">
        <v>45506</v>
      </c>
      <c r="I414" s="3">
        <v>45043</v>
      </c>
      <c r="J414" s="3">
        <v>45643</v>
      </c>
      <c r="K414" t="s">
        <v>1026</v>
      </c>
      <c r="L414">
        <v>58</v>
      </c>
      <c r="M414" s="6">
        <v>6897</v>
      </c>
      <c r="O414">
        <f t="shared" si="30"/>
        <v>2.0219999999999998</v>
      </c>
      <c r="P414">
        <f t="shared" si="31"/>
        <v>600</v>
      </c>
      <c r="Q414">
        <f t="shared" ca="1" si="32"/>
        <v>457</v>
      </c>
      <c r="R414" t="str">
        <f t="shared" si="33"/>
        <v>Normal</v>
      </c>
      <c r="S414">
        <f t="shared" si="34"/>
        <v>42593.502880276057</v>
      </c>
    </row>
    <row r="415" spans="1:19" x14ac:dyDescent="0.35">
      <c r="A415" t="s">
        <v>426</v>
      </c>
      <c r="B415" t="s">
        <v>926</v>
      </c>
      <c r="C415" t="s">
        <v>1015</v>
      </c>
      <c r="D415" t="s">
        <v>1019</v>
      </c>
      <c r="E415" s="6">
        <v>69642</v>
      </c>
      <c r="F415" s="6">
        <v>48581.041110026999</v>
      </c>
      <c r="G415" t="s">
        <v>1022</v>
      </c>
      <c r="H415" s="3">
        <v>45565</v>
      </c>
      <c r="I415" s="3">
        <v>45127</v>
      </c>
      <c r="J415" s="3">
        <v>45472</v>
      </c>
      <c r="K415" t="s">
        <v>1025</v>
      </c>
      <c r="L415">
        <v>36</v>
      </c>
      <c r="M415" s="6">
        <v>12442</v>
      </c>
      <c r="O415">
        <f t="shared" si="30"/>
        <v>0.69799999999999995</v>
      </c>
      <c r="P415">
        <f t="shared" si="31"/>
        <v>345</v>
      </c>
      <c r="Q415">
        <f t="shared" ca="1" si="32"/>
        <v>398</v>
      </c>
      <c r="R415" t="str">
        <f t="shared" si="33"/>
        <v>High</v>
      </c>
      <c r="S415">
        <f t="shared" si="34"/>
        <v>48581.041110026999</v>
      </c>
    </row>
    <row r="416" spans="1:19" x14ac:dyDescent="0.35">
      <c r="A416" t="s">
        <v>427</v>
      </c>
      <c r="B416" t="s">
        <v>927</v>
      </c>
      <c r="C416" t="s">
        <v>1013</v>
      </c>
      <c r="D416" t="s">
        <v>1020</v>
      </c>
      <c r="E416" s="6">
        <v>92093</v>
      </c>
      <c r="F416" s="6">
        <v>39452.575686656033</v>
      </c>
      <c r="G416" t="s">
        <v>1023</v>
      </c>
      <c r="H416" s="3">
        <v>45385</v>
      </c>
      <c r="I416" s="3">
        <v>45187</v>
      </c>
      <c r="J416" s="3">
        <v>45621</v>
      </c>
      <c r="K416" t="s">
        <v>1025</v>
      </c>
      <c r="L416">
        <v>39</v>
      </c>
      <c r="M416" s="6">
        <v>10252</v>
      </c>
      <c r="O416">
        <f t="shared" si="30"/>
        <v>0.42799999999999999</v>
      </c>
      <c r="P416">
        <f t="shared" si="31"/>
        <v>434</v>
      </c>
      <c r="Q416">
        <f t="shared" ca="1" si="32"/>
        <v>578</v>
      </c>
      <c r="R416" t="str">
        <f t="shared" si="33"/>
        <v>High</v>
      </c>
      <c r="S416">
        <f t="shared" si="34"/>
        <v>39452.575686656033</v>
      </c>
    </row>
    <row r="417" spans="1:19" x14ac:dyDescent="0.35">
      <c r="A417" t="s">
        <v>428</v>
      </c>
      <c r="B417" t="s">
        <v>928</v>
      </c>
      <c r="C417" t="s">
        <v>1015</v>
      </c>
      <c r="D417" t="s">
        <v>1021</v>
      </c>
      <c r="E417" s="6">
        <v>88143</v>
      </c>
      <c r="F417" s="6">
        <v>6468.1642946528309</v>
      </c>
      <c r="G417" t="s">
        <v>1022</v>
      </c>
      <c r="H417" s="3">
        <v>45498</v>
      </c>
      <c r="I417" s="3">
        <v>45148</v>
      </c>
      <c r="J417" s="3">
        <v>45517</v>
      </c>
      <c r="K417" t="s">
        <v>1025</v>
      </c>
      <c r="L417">
        <v>43</v>
      </c>
      <c r="M417" s="6">
        <v>7041</v>
      </c>
      <c r="O417">
        <f t="shared" si="30"/>
        <v>7.2999999999999995E-2</v>
      </c>
      <c r="P417">
        <f t="shared" si="31"/>
        <v>369</v>
      </c>
      <c r="Q417">
        <f t="shared" ca="1" si="32"/>
        <v>465</v>
      </c>
      <c r="R417" t="str">
        <f t="shared" si="33"/>
        <v>High</v>
      </c>
      <c r="S417">
        <f t="shared" si="34"/>
        <v>6468.1642946528309</v>
      </c>
    </row>
    <row r="418" spans="1:19" x14ac:dyDescent="0.35">
      <c r="A418" t="s">
        <v>429</v>
      </c>
      <c r="B418" t="s">
        <v>929</v>
      </c>
      <c r="C418" t="s">
        <v>1015</v>
      </c>
      <c r="D418" t="s">
        <v>1018</v>
      </c>
      <c r="E418" s="6">
        <v>39599</v>
      </c>
      <c r="F418" s="6">
        <v>32141.088990956829</v>
      </c>
      <c r="G418" t="s">
        <v>1023</v>
      </c>
      <c r="H418" s="3">
        <v>45557</v>
      </c>
      <c r="I418" s="3">
        <v>44977</v>
      </c>
      <c r="J418" s="3">
        <v>45383</v>
      </c>
      <c r="K418" t="s">
        <v>1025</v>
      </c>
      <c r="L418">
        <v>69</v>
      </c>
      <c r="M418" s="6">
        <v>13202</v>
      </c>
      <c r="O418">
        <f t="shared" si="30"/>
        <v>0.81200000000000006</v>
      </c>
      <c r="P418">
        <f t="shared" si="31"/>
        <v>406</v>
      </c>
      <c r="Q418">
        <f t="shared" ca="1" si="32"/>
        <v>406</v>
      </c>
      <c r="R418" t="str">
        <f t="shared" si="33"/>
        <v>Normal</v>
      </c>
      <c r="S418">
        <f t="shared" si="34"/>
        <v>32141.088990956829</v>
      </c>
    </row>
    <row r="419" spans="1:19" x14ac:dyDescent="0.35">
      <c r="A419" t="s">
        <v>430</v>
      </c>
      <c r="B419" t="s">
        <v>930</v>
      </c>
      <c r="C419" t="s">
        <v>1016</v>
      </c>
      <c r="D419" t="s">
        <v>1018</v>
      </c>
      <c r="E419" s="6">
        <v>53920</v>
      </c>
      <c r="F419" s="6">
        <v>48037.53263846779</v>
      </c>
      <c r="G419" t="s">
        <v>1023</v>
      </c>
      <c r="H419" s="3">
        <v>45521</v>
      </c>
      <c r="I419" s="3">
        <v>45254</v>
      </c>
      <c r="J419" s="3">
        <v>45403</v>
      </c>
      <c r="K419" t="s">
        <v>1025</v>
      </c>
      <c r="L419">
        <v>41</v>
      </c>
      <c r="M419" s="6">
        <v>5901</v>
      </c>
      <c r="O419">
        <f t="shared" si="30"/>
        <v>0.89100000000000001</v>
      </c>
      <c r="P419">
        <f t="shared" si="31"/>
        <v>149</v>
      </c>
      <c r="Q419">
        <f t="shared" ca="1" si="32"/>
        <v>442</v>
      </c>
      <c r="R419" t="str">
        <f t="shared" si="33"/>
        <v>High</v>
      </c>
      <c r="S419">
        <f t="shared" si="34"/>
        <v>48037.53263846779</v>
      </c>
    </row>
    <row r="420" spans="1:19" x14ac:dyDescent="0.35">
      <c r="A420" t="s">
        <v>431</v>
      </c>
      <c r="B420" t="s">
        <v>931</v>
      </c>
      <c r="C420" t="s">
        <v>1014</v>
      </c>
      <c r="D420" t="s">
        <v>1021</v>
      </c>
      <c r="E420" s="6">
        <v>30529</v>
      </c>
      <c r="F420" s="6">
        <v>36357.542079573497</v>
      </c>
      <c r="G420" t="s">
        <v>1023</v>
      </c>
      <c r="H420" s="3">
        <v>45410</v>
      </c>
      <c r="I420" s="3">
        <v>45212</v>
      </c>
      <c r="J420" s="3">
        <v>45506</v>
      </c>
      <c r="K420" t="s">
        <v>1026</v>
      </c>
      <c r="L420">
        <v>48</v>
      </c>
      <c r="M420" s="6">
        <v>3337</v>
      </c>
      <c r="O420">
        <f t="shared" si="30"/>
        <v>1.1910000000000001</v>
      </c>
      <c r="P420">
        <f t="shared" si="31"/>
        <v>294</v>
      </c>
      <c r="Q420">
        <f t="shared" ca="1" si="32"/>
        <v>553</v>
      </c>
      <c r="R420" t="str">
        <f t="shared" si="33"/>
        <v>Normal</v>
      </c>
      <c r="S420">
        <f t="shared" si="34"/>
        <v>36357.542079573497</v>
      </c>
    </row>
    <row r="421" spans="1:19" x14ac:dyDescent="0.35">
      <c r="A421" t="s">
        <v>432</v>
      </c>
      <c r="B421" t="s">
        <v>932</v>
      </c>
      <c r="C421" t="s">
        <v>1016</v>
      </c>
      <c r="D421" t="s">
        <v>1020</v>
      </c>
      <c r="E421" s="6">
        <v>37954</v>
      </c>
      <c r="F421" s="6">
        <v>15617.44723818837</v>
      </c>
      <c r="G421" t="s">
        <v>1023</v>
      </c>
      <c r="H421" s="3">
        <v>45411</v>
      </c>
      <c r="I421" s="3">
        <v>44968</v>
      </c>
      <c r="J421" s="3">
        <v>45647</v>
      </c>
      <c r="K421" t="s">
        <v>1025</v>
      </c>
      <c r="L421">
        <v>41</v>
      </c>
      <c r="M421" s="6">
        <v>3184</v>
      </c>
      <c r="O421">
        <f t="shared" si="30"/>
        <v>0.41099999999999998</v>
      </c>
      <c r="P421">
        <f t="shared" si="31"/>
        <v>679</v>
      </c>
      <c r="Q421">
        <f t="shared" ca="1" si="32"/>
        <v>552</v>
      </c>
      <c r="R421" t="str">
        <f t="shared" si="33"/>
        <v>Normal</v>
      </c>
      <c r="S421">
        <f t="shared" si="34"/>
        <v>15617.44723818837</v>
      </c>
    </row>
    <row r="422" spans="1:19" x14ac:dyDescent="0.35">
      <c r="A422" t="s">
        <v>433</v>
      </c>
      <c r="B422" t="s">
        <v>933</v>
      </c>
      <c r="C422" t="s">
        <v>1016</v>
      </c>
      <c r="D422" t="s">
        <v>1019</v>
      </c>
      <c r="E422" s="6">
        <v>29856</v>
      </c>
      <c r="F422" s="6">
        <v>0</v>
      </c>
      <c r="G422" t="s">
        <v>1023</v>
      </c>
      <c r="H422" s="3">
        <v>45485</v>
      </c>
      <c r="I422" s="3">
        <v>44994</v>
      </c>
      <c r="J422" s="3">
        <v>45389</v>
      </c>
      <c r="K422" t="s">
        <v>1025</v>
      </c>
      <c r="L422">
        <v>63</v>
      </c>
      <c r="M422" s="6">
        <v>6426</v>
      </c>
      <c r="O422">
        <f t="shared" si="30"/>
        <v>0</v>
      </c>
      <c r="P422">
        <f t="shared" si="31"/>
        <v>395</v>
      </c>
      <c r="Q422">
        <f t="shared" ca="1" si="32"/>
        <v>478</v>
      </c>
      <c r="R422" t="str">
        <f t="shared" si="33"/>
        <v>Normal</v>
      </c>
      <c r="S422">
        <f t="shared" si="34"/>
        <v>0</v>
      </c>
    </row>
    <row r="423" spans="1:19" x14ac:dyDescent="0.35">
      <c r="A423" t="s">
        <v>434</v>
      </c>
      <c r="B423" t="s">
        <v>934</v>
      </c>
      <c r="C423" t="s">
        <v>1016</v>
      </c>
      <c r="D423" t="s">
        <v>1018</v>
      </c>
      <c r="E423" s="6">
        <v>4573</v>
      </c>
      <c r="F423" s="6">
        <v>42676.841186410224</v>
      </c>
      <c r="G423" t="s">
        <v>1023</v>
      </c>
      <c r="H423" s="3">
        <v>45551</v>
      </c>
      <c r="I423" s="3">
        <v>45286</v>
      </c>
      <c r="J423" s="3">
        <v>45487</v>
      </c>
      <c r="K423" t="s">
        <v>1025</v>
      </c>
      <c r="L423">
        <v>28</v>
      </c>
      <c r="M423" s="6">
        <v>3551</v>
      </c>
      <c r="O423">
        <f t="shared" si="30"/>
        <v>9.3320000000000007</v>
      </c>
      <c r="P423">
        <f t="shared" si="31"/>
        <v>201</v>
      </c>
      <c r="Q423">
        <f t="shared" ca="1" si="32"/>
        <v>412</v>
      </c>
      <c r="R423" t="str">
        <f t="shared" si="33"/>
        <v>Normal</v>
      </c>
      <c r="S423">
        <f t="shared" si="34"/>
        <v>42676.841186410224</v>
      </c>
    </row>
    <row r="424" spans="1:19" x14ac:dyDescent="0.35">
      <c r="A424" t="s">
        <v>435</v>
      </c>
      <c r="B424" t="s">
        <v>935</v>
      </c>
      <c r="C424" t="s">
        <v>1016</v>
      </c>
      <c r="D424" t="s">
        <v>1017</v>
      </c>
      <c r="E424" s="6">
        <v>80344</v>
      </c>
      <c r="F424" s="6">
        <v>41833.984708961827</v>
      </c>
      <c r="G424" t="s">
        <v>1023</v>
      </c>
      <c r="H424" s="3">
        <v>45301</v>
      </c>
      <c r="I424" s="3">
        <v>45092</v>
      </c>
      <c r="J424" s="3">
        <v>45477</v>
      </c>
      <c r="K424" t="s">
        <v>1026</v>
      </c>
      <c r="L424">
        <v>56</v>
      </c>
      <c r="M424" s="6">
        <v>14625</v>
      </c>
      <c r="O424">
        <f t="shared" si="30"/>
        <v>0.52100000000000002</v>
      </c>
      <c r="P424">
        <f t="shared" si="31"/>
        <v>385</v>
      </c>
      <c r="Q424">
        <f t="shared" ca="1" si="32"/>
        <v>662</v>
      </c>
      <c r="R424" t="str">
        <f t="shared" si="33"/>
        <v>High</v>
      </c>
      <c r="S424">
        <f t="shared" si="34"/>
        <v>41833.984708961827</v>
      </c>
    </row>
    <row r="425" spans="1:19" x14ac:dyDescent="0.35">
      <c r="A425" t="s">
        <v>436</v>
      </c>
      <c r="B425" t="s">
        <v>936</v>
      </c>
      <c r="C425" t="s">
        <v>1013</v>
      </c>
      <c r="D425" t="s">
        <v>1017</v>
      </c>
      <c r="E425" s="6">
        <v>37367</v>
      </c>
      <c r="F425" s="6">
        <v>13355.30855922294</v>
      </c>
      <c r="G425" t="s">
        <v>1023</v>
      </c>
      <c r="H425" s="3">
        <v>45405</v>
      </c>
      <c r="I425" s="3">
        <v>44991</v>
      </c>
      <c r="J425" s="3">
        <v>45482</v>
      </c>
      <c r="K425" t="s">
        <v>1026</v>
      </c>
      <c r="L425">
        <v>29</v>
      </c>
      <c r="M425" s="6">
        <v>3629</v>
      </c>
      <c r="O425">
        <f t="shared" si="30"/>
        <v>0.35699999999999998</v>
      </c>
      <c r="P425">
        <f t="shared" si="31"/>
        <v>491</v>
      </c>
      <c r="Q425">
        <f t="shared" ca="1" si="32"/>
        <v>558</v>
      </c>
      <c r="R425" t="str">
        <f t="shared" si="33"/>
        <v>Normal</v>
      </c>
      <c r="S425">
        <f t="shared" si="34"/>
        <v>13355.30855922294</v>
      </c>
    </row>
    <row r="426" spans="1:19" x14ac:dyDescent="0.35">
      <c r="A426" t="s">
        <v>437</v>
      </c>
      <c r="B426" t="s">
        <v>937</v>
      </c>
      <c r="C426" t="s">
        <v>1014</v>
      </c>
      <c r="D426" t="s">
        <v>1021</v>
      </c>
      <c r="E426" s="6">
        <v>62774</v>
      </c>
      <c r="F426" s="6">
        <v>16001.750660214369</v>
      </c>
      <c r="G426" t="s">
        <v>1023</v>
      </c>
      <c r="H426" s="3">
        <v>45314</v>
      </c>
      <c r="I426" s="3">
        <v>44999</v>
      </c>
      <c r="J426" s="3">
        <v>45370</v>
      </c>
      <c r="K426" t="s">
        <v>1026</v>
      </c>
      <c r="L426">
        <v>55</v>
      </c>
      <c r="M426" s="6">
        <v>11519</v>
      </c>
      <c r="O426">
        <f t="shared" si="30"/>
        <v>0.255</v>
      </c>
      <c r="P426">
        <f t="shared" si="31"/>
        <v>371</v>
      </c>
      <c r="Q426">
        <f t="shared" ca="1" si="32"/>
        <v>649</v>
      </c>
      <c r="R426" t="str">
        <f t="shared" si="33"/>
        <v>High</v>
      </c>
      <c r="S426">
        <f t="shared" si="34"/>
        <v>16001.750660214369</v>
      </c>
    </row>
    <row r="427" spans="1:19" x14ac:dyDescent="0.35">
      <c r="A427" t="s">
        <v>438</v>
      </c>
      <c r="B427" t="s">
        <v>938</v>
      </c>
      <c r="C427" t="s">
        <v>1015</v>
      </c>
      <c r="D427" t="s">
        <v>1020</v>
      </c>
      <c r="E427" s="6">
        <v>25752</v>
      </c>
      <c r="F427" s="6">
        <v>73972.780063486585</v>
      </c>
      <c r="G427" t="s">
        <v>1022</v>
      </c>
      <c r="H427" s="3">
        <v>45563</v>
      </c>
      <c r="I427" s="3">
        <v>45143</v>
      </c>
      <c r="J427" s="3">
        <v>45560</v>
      </c>
      <c r="K427" t="s">
        <v>1026</v>
      </c>
      <c r="L427">
        <v>56</v>
      </c>
      <c r="M427" s="6">
        <v>3526</v>
      </c>
      <c r="O427">
        <f t="shared" si="30"/>
        <v>2.8730000000000002</v>
      </c>
      <c r="P427">
        <f t="shared" si="31"/>
        <v>417</v>
      </c>
      <c r="Q427">
        <f t="shared" ca="1" si="32"/>
        <v>400</v>
      </c>
      <c r="R427" t="str">
        <f t="shared" si="33"/>
        <v>Normal</v>
      </c>
      <c r="S427">
        <f t="shared" si="34"/>
        <v>73972.780063486585</v>
      </c>
    </row>
    <row r="428" spans="1:19" x14ac:dyDescent="0.35">
      <c r="A428" t="s">
        <v>439</v>
      </c>
      <c r="B428" t="s">
        <v>939</v>
      </c>
      <c r="C428" t="s">
        <v>1015</v>
      </c>
      <c r="D428" t="s">
        <v>1018</v>
      </c>
      <c r="E428" s="6">
        <v>57029</v>
      </c>
      <c r="F428" s="6">
        <v>36051.327333990761</v>
      </c>
      <c r="G428" t="s">
        <v>1023</v>
      </c>
      <c r="H428" s="3">
        <v>45349</v>
      </c>
      <c r="I428" s="3">
        <v>45135</v>
      </c>
      <c r="J428" s="3">
        <v>45405</v>
      </c>
      <c r="K428" t="s">
        <v>1025</v>
      </c>
      <c r="L428">
        <v>47</v>
      </c>
      <c r="M428" s="6">
        <v>11865</v>
      </c>
      <c r="O428">
        <f t="shared" si="30"/>
        <v>0.63200000000000001</v>
      </c>
      <c r="P428">
        <f t="shared" si="31"/>
        <v>270</v>
      </c>
      <c r="Q428">
        <f t="shared" ca="1" si="32"/>
        <v>614</v>
      </c>
      <c r="R428" t="str">
        <f t="shared" si="33"/>
        <v>High</v>
      </c>
      <c r="S428">
        <f t="shared" si="34"/>
        <v>36051.327333990761</v>
      </c>
    </row>
    <row r="429" spans="1:19" x14ac:dyDescent="0.35">
      <c r="A429" t="s">
        <v>440</v>
      </c>
      <c r="B429" t="s">
        <v>940</v>
      </c>
      <c r="C429" t="s">
        <v>1014</v>
      </c>
      <c r="D429" t="s">
        <v>1020</v>
      </c>
      <c r="E429" s="6">
        <v>19685</v>
      </c>
      <c r="F429" s="6">
        <v>27722.018850978598</v>
      </c>
      <c r="G429" t="s">
        <v>1024</v>
      </c>
      <c r="H429" s="3">
        <v>45301</v>
      </c>
      <c r="I429" s="3">
        <v>45009</v>
      </c>
      <c r="J429" s="3">
        <v>45501</v>
      </c>
      <c r="K429" t="s">
        <v>1026</v>
      </c>
      <c r="L429">
        <v>47</v>
      </c>
      <c r="M429" s="6">
        <v>3361</v>
      </c>
      <c r="O429">
        <f t="shared" si="30"/>
        <v>1.4079999999999999</v>
      </c>
      <c r="P429">
        <f t="shared" si="31"/>
        <v>492</v>
      </c>
      <c r="Q429">
        <f t="shared" ca="1" si="32"/>
        <v>662</v>
      </c>
      <c r="R429" t="str">
        <f t="shared" si="33"/>
        <v>Normal</v>
      </c>
      <c r="S429">
        <f t="shared" si="34"/>
        <v>0</v>
      </c>
    </row>
    <row r="430" spans="1:19" x14ac:dyDescent="0.35">
      <c r="A430" t="s">
        <v>441</v>
      </c>
      <c r="B430" t="s">
        <v>941</v>
      </c>
      <c r="C430" t="s">
        <v>1015</v>
      </c>
      <c r="D430" t="s">
        <v>1018</v>
      </c>
      <c r="E430" s="6">
        <v>53693</v>
      </c>
      <c r="F430" s="6">
        <v>9529.8478888269328</v>
      </c>
      <c r="G430" t="s">
        <v>1022</v>
      </c>
      <c r="H430" s="3">
        <v>45366</v>
      </c>
      <c r="I430" s="3">
        <v>44934</v>
      </c>
      <c r="J430" s="3">
        <v>45563</v>
      </c>
      <c r="K430" t="s">
        <v>1025</v>
      </c>
      <c r="L430">
        <v>61</v>
      </c>
      <c r="M430" s="6">
        <v>11765</v>
      </c>
      <c r="O430">
        <f t="shared" si="30"/>
        <v>0.17699999999999999</v>
      </c>
      <c r="P430">
        <f t="shared" si="31"/>
        <v>629</v>
      </c>
      <c r="Q430">
        <f t="shared" ca="1" si="32"/>
        <v>597</v>
      </c>
      <c r="R430" t="str">
        <f t="shared" si="33"/>
        <v>High</v>
      </c>
      <c r="S430">
        <f t="shared" si="34"/>
        <v>9529.8478888269328</v>
      </c>
    </row>
    <row r="431" spans="1:19" x14ac:dyDescent="0.35">
      <c r="A431" t="s">
        <v>442</v>
      </c>
      <c r="B431" t="s">
        <v>942</v>
      </c>
      <c r="C431" t="s">
        <v>1014</v>
      </c>
      <c r="D431" t="s">
        <v>1021</v>
      </c>
      <c r="E431" s="6">
        <v>57961</v>
      </c>
      <c r="F431" s="6">
        <v>42613.405989641251</v>
      </c>
      <c r="G431" t="s">
        <v>1023</v>
      </c>
      <c r="H431" s="3">
        <v>45463</v>
      </c>
      <c r="I431" s="3">
        <v>45187</v>
      </c>
      <c r="J431" s="3">
        <v>45335</v>
      </c>
      <c r="K431" t="s">
        <v>1025</v>
      </c>
      <c r="L431">
        <v>62</v>
      </c>
      <c r="M431" s="6">
        <v>12878</v>
      </c>
      <c r="O431">
        <f t="shared" si="30"/>
        <v>0.73499999999999999</v>
      </c>
      <c r="P431">
        <f t="shared" si="31"/>
        <v>148</v>
      </c>
      <c r="Q431">
        <f t="shared" ca="1" si="32"/>
        <v>500</v>
      </c>
      <c r="R431" t="str">
        <f t="shared" si="33"/>
        <v>High</v>
      </c>
      <c r="S431">
        <f t="shared" si="34"/>
        <v>42613.405989641251</v>
      </c>
    </row>
    <row r="432" spans="1:19" x14ac:dyDescent="0.35">
      <c r="A432" t="s">
        <v>443</v>
      </c>
      <c r="B432" t="s">
        <v>943</v>
      </c>
      <c r="C432" t="s">
        <v>1015</v>
      </c>
      <c r="D432" t="s">
        <v>1021</v>
      </c>
      <c r="E432" s="6">
        <v>78908</v>
      </c>
      <c r="F432" s="6">
        <v>70588.131868439887</v>
      </c>
      <c r="G432" t="s">
        <v>1023</v>
      </c>
      <c r="H432" s="3">
        <v>45326</v>
      </c>
      <c r="I432" s="3">
        <v>45157</v>
      </c>
      <c r="J432" s="3">
        <v>45413</v>
      </c>
      <c r="K432" t="s">
        <v>1026</v>
      </c>
      <c r="L432">
        <v>40</v>
      </c>
      <c r="M432" s="6">
        <v>6370</v>
      </c>
      <c r="O432">
        <f t="shared" si="30"/>
        <v>0.89500000000000002</v>
      </c>
      <c r="P432">
        <f t="shared" si="31"/>
        <v>256</v>
      </c>
      <c r="Q432">
        <f t="shared" ca="1" si="32"/>
        <v>637</v>
      </c>
      <c r="R432" t="str">
        <f t="shared" si="33"/>
        <v>High</v>
      </c>
      <c r="S432">
        <f t="shared" si="34"/>
        <v>70588.131868439887</v>
      </c>
    </row>
    <row r="433" spans="1:19" x14ac:dyDescent="0.35">
      <c r="A433" t="s">
        <v>444</v>
      </c>
      <c r="B433" t="s">
        <v>944</v>
      </c>
      <c r="C433" t="s">
        <v>1016</v>
      </c>
      <c r="D433" t="s">
        <v>1017</v>
      </c>
      <c r="E433" s="6">
        <v>76532</v>
      </c>
      <c r="F433" s="6">
        <v>5222.4182537962206</v>
      </c>
      <c r="G433" t="s">
        <v>1022</v>
      </c>
      <c r="H433" s="3">
        <v>45592</v>
      </c>
      <c r="I433" s="3">
        <v>45258</v>
      </c>
      <c r="J433" s="3">
        <v>45326</v>
      </c>
      <c r="K433" t="s">
        <v>1026</v>
      </c>
      <c r="L433">
        <v>43</v>
      </c>
      <c r="M433" s="6">
        <v>7283</v>
      </c>
      <c r="O433">
        <f t="shared" si="30"/>
        <v>6.8000000000000005E-2</v>
      </c>
      <c r="P433">
        <f t="shared" si="31"/>
        <v>68</v>
      </c>
      <c r="Q433">
        <f t="shared" ca="1" si="32"/>
        <v>371</v>
      </c>
      <c r="R433" t="str">
        <f t="shared" si="33"/>
        <v>High</v>
      </c>
      <c r="S433">
        <f t="shared" si="34"/>
        <v>5222.4182537962206</v>
      </c>
    </row>
    <row r="434" spans="1:19" x14ac:dyDescent="0.35">
      <c r="A434" t="s">
        <v>445</v>
      </c>
      <c r="B434" t="s">
        <v>945</v>
      </c>
      <c r="C434" t="s">
        <v>1015</v>
      </c>
      <c r="D434" t="s">
        <v>1020</v>
      </c>
      <c r="E434" s="6">
        <v>83994</v>
      </c>
      <c r="F434" s="6">
        <v>50616.576731449008</v>
      </c>
      <c r="G434" t="s">
        <v>1023</v>
      </c>
      <c r="H434" s="3">
        <v>45576</v>
      </c>
      <c r="I434" s="3">
        <v>44962</v>
      </c>
      <c r="J434" s="3">
        <v>45477</v>
      </c>
      <c r="K434" t="s">
        <v>1026</v>
      </c>
      <c r="L434">
        <v>61</v>
      </c>
      <c r="M434" s="6">
        <v>9610</v>
      </c>
      <c r="O434">
        <f t="shared" si="30"/>
        <v>0.60299999999999998</v>
      </c>
      <c r="P434">
        <f t="shared" si="31"/>
        <v>515</v>
      </c>
      <c r="Q434">
        <f t="shared" ca="1" si="32"/>
        <v>387</v>
      </c>
      <c r="R434" t="str">
        <f t="shared" si="33"/>
        <v>High</v>
      </c>
      <c r="S434">
        <f t="shared" si="34"/>
        <v>50616.576731449008</v>
      </c>
    </row>
    <row r="435" spans="1:19" x14ac:dyDescent="0.35">
      <c r="A435" t="s">
        <v>446</v>
      </c>
      <c r="B435" t="s">
        <v>946</v>
      </c>
      <c r="C435" t="s">
        <v>1014</v>
      </c>
      <c r="D435" t="s">
        <v>1017</v>
      </c>
      <c r="E435" s="6">
        <v>58133</v>
      </c>
      <c r="F435" s="6">
        <v>38883.71403919661</v>
      </c>
      <c r="G435" t="s">
        <v>1023</v>
      </c>
      <c r="H435" s="3">
        <v>45469</v>
      </c>
      <c r="I435" s="3">
        <v>45006</v>
      </c>
      <c r="J435" s="3">
        <v>45417</v>
      </c>
      <c r="K435" t="s">
        <v>1026</v>
      </c>
      <c r="L435">
        <v>59</v>
      </c>
      <c r="M435" s="6">
        <v>12558</v>
      </c>
      <c r="O435">
        <f t="shared" si="30"/>
        <v>0.66900000000000004</v>
      </c>
      <c r="P435">
        <f t="shared" si="31"/>
        <v>411</v>
      </c>
      <c r="Q435">
        <f t="shared" ca="1" si="32"/>
        <v>494</v>
      </c>
      <c r="R435" t="str">
        <f t="shared" si="33"/>
        <v>High</v>
      </c>
      <c r="S435">
        <f t="shared" si="34"/>
        <v>38883.71403919661</v>
      </c>
    </row>
    <row r="436" spans="1:19" x14ac:dyDescent="0.35">
      <c r="A436" t="s">
        <v>447</v>
      </c>
      <c r="B436" t="s">
        <v>947</v>
      </c>
      <c r="C436" t="s">
        <v>1014</v>
      </c>
      <c r="D436" t="s">
        <v>1020</v>
      </c>
      <c r="E436" s="6">
        <v>99425</v>
      </c>
      <c r="F436" s="6">
        <v>48986.385778919459</v>
      </c>
      <c r="G436" t="s">
        <v>1023</v>
      </c>
      <c r="H436" s="3">
        <v>45544</v>
      </c>
      <c r="I436" s="3">
        <v>44983</v>
      </c>
      <c r="J436" s="3">
        <v>45466</v>
      </c>
      <c r="K436" t="s">
        <v>1026</v>
      </c>
      <c r="L436">
        <v>21</v>
      </c>
      <c r="M436" s="6">
        <v>13949</v>
      </c>
      <c r="O436">
        <f t="shared" si="30"/>
        <v>0.49299999999999999</v>
      </c>
      <c r="P436">
        <f t="shared" si="31"/>
        <v>483</v>
      </c>
      <c r="Q436">
        <f t="shared" ca="1" si="32"/>
        <v>419</v>
      </c>
      <c r="R436" t="str">
        <f t="shared" si="33"/>
        <v>High</v>
      </c>
      <c r="S436">
        <f t="shared" si="34"/>
        <v>48986.385778919459</v>
      </c>
    </row>
    <row r="437" spans="1:19" x14ac:dyDescent="0.35">
      <c r="A437" t="s">
        <v>448</v>
      </c>
      <c r="B437" t="s">
        <v>948</v>
      </c>
      <c r="C437" t="s">
        <v>1014</v>
      </c>
      <c r="D437" t="s">
        <v>1017</v>
      </c>
      <c r="E437" s="6">
        <v>63268</v>
      </c>
      <c r="F437" s="6">
        <v>16322.103170163449</v>
      </c>
      <c r="G437" t="s">
        <v>1022</v>
      </c>
      <c r="H437" s="3">
        <v>45559</v>
      </c>
      <c r="I437" s="3">
        <v>45009</v>
      </c>
      <c r="J437" s="3">
        <v>45580</v>
      </c>
      <c r="K437" t="s">
        <v>1025</v>
      </c>
      <c r="L437">
        <v>27</v>
      </c>
      <c r="M437" s="6">
        <v>12626</v>
      </c>
      <c r="O437">
        <f t="shared" si="30"/>
        <v>0.25800000000000001</v>
      </c>
      <c r="P437">
        <f t="shared" si="31"/>
        <v>571</v>
      </c>
      <c r="Q437">
        <f t="shared" ca="1" si="32"/>
        <v>404</v>
      </c>
      <c r="R437" t="str">
        <f t="shared" si="33"/>
        <v>High</v>
      </c>
      <c r="S437">
        <f t="shared" si="34"/>
        <v>16322.103170163449</v>
      </c>
    </row>
    <row r="438" spans="1:19" x14ac:dyDescent="0.35">
      <c r="A438" t="s">
        <v>449</v>
      </c>
      <c r="B438" t="s">
        <v>949</v>
      </c>
      <c r="C438" t="s">
        <v>1014</v>
      </c>
      <c r="D438" t="s">
        <v>1019</v>
      </c>
      <c r="E438" s="6">
        <v>94201</v>
      </c>
      <c r="F438" s="6">
        <v>72164.860757419025</v>
      </c>
      <c r="G438" t="s">
        <v>1023</v>
      </c>
      <c r="H438" s="3">
        <v>45325</v>
      </c>
      <c r="I438" s="3">
        <v>44958</v>
      </c>
      <c r="J438" s="3">
        <v>45408</v>
      </c>
      <c r="K438" t="s">
        <v>1026</v>
      </c>
      <c r="L438">
        <v>67</v>
      </c>
      <c r="M438" s="6">
        <v>3993</v>
      </c>
      <c r="O438">
        <f t="shared" si="30"/>
        <v>0.76600000000000001</v>
      </c>
      <c r="P438">
        <f t="shared" si="31"/>
        <v>450</v>
      </c>
      <c r="Q438">
        <f t="shared" ca="1" si="32"/>
        <v>638</v>
      </c>
      <c r="R438" t="str">
        <f t="shared" si="33"/>
        <v>High</v>
      </c>
      <c r="S438">
        <f t="shared" si="34"/>
        <v>72164.860757419025</v>
      </c>
    </row>
    <row r="439" spans="1:19" x14ac:dyDescent="0.35">
      <c r="A439" t="s">
        <v>450</v>
      </c>
      <c r="B439" t="s">
        <v>950</v>
      </c>
      <c r="C439" t="s">
        <v>1014</v>
      </c>
      <c r="D439" t="s">
        <v>1019</v>
      </c>
      <c r="E439" s="6">
        <v>40243</v>
      </c>
      <c r="F439" s="6">
        <v>36582.935568759684</v>
      </c>
      <c r="G439" t="s">
        <v>1023</v>
      </c>
      <c r="H439" s="3">
        <v>45345</v>
      </c>
      <c r="I439" s="3">
        <v>44953</v>
      </c>
      <c r="J439" s="3">
        <v>45411</v>
      </c>
      <c r="K439" t="s">
        <v>1026</v>
      </c>
      <c r="L439">
        <v>46</v>
      </c>
      <c r="M439" s="6">
        <v>2869</v>
      </c>
      <c r="O439">
        <f t="shared" si="30"/>
        <v>0.90900000000000003</v>
      </c>
      <c r="P439">
        <f t="shared" si="31"/>
        <v>458</v>
      </c>
      <c r="Q439">
        <f t="shared" ca="1" si="32"/>
        <v>618</v>
      </c>
      <c r="R439" t="str">
        <f t="shared" si="33"/>
        <v>Normal</v>
      </c>
      <c r="S439">
        <f t="shared" si="34"/>
        <v>36582.935568759684</v>
      </c>
    </row>
    <row r="440" spans="1:19" x14ac:dyDescent="0.35">
      <c r="A440" t="s">
        <v>451</v>
      </c>
      <c r="B440" t="s">
        <v>951</v>
      </c>
      <c r="C440" t="s">
        <v>1013</v>
      </c>
      <c r="D440" t="s">
        <v>1019</v>
      </c>
      <c r="E440" s="6">
        <v>59384</v>
      </c>
      <c r="F440" s="6">
        <v>0</v>
      </c>
      <c r="G440" t="s">
        <v>1024</v>
      </c>
      <c r="H440" s="3">
        <v>45337</v>
      </c>
      <c r="I440" s="3">
        <v>44967</v>
      </c>
      <c r="J440" s="3">
        <v>45313</v>
      </c>
      <c r="K440" t="s">
        <v>1026</v>
      </c>
      <c r="L440">
        <v>41</v>
      </c>
      <c r="M440" s="6">
        <v>3014</v>
      </c>
      <c r="O440">
        <f t="shared" si="30"/>
        <v>0</v>
      </c>
      <c r="P440">
        <f t="shared" si="31"/>
        <v>346</v>
      </c>
      <c r="Q440">
        <f t="shared" ca="1" si="32"/>
        <v>626</v>
      </c>
      <c r="R440" t="str">
        <f t="shared" si="33"/>
        <v>High</v>
      </c>
      <c r="S440">
        <f t="shared" si="34"/>
        <v>0</v>
      </c>
    </row>
    <row r="441" spans="1:19" x14ac:dyDescent="0.35">
      <c r="A441" t="s">
        <v>452</v>
      </c>
      <c r="B441" t="s">
        <v>952</v>
      </c>
      <c r="C441" t="s">
        <v>1013</v>
      </c>
      <c r="D441" t="s">
        <v>1019</v>
      </c>
      <c r="E441" s="6">
        <v>33653</v>
      </c>
      <c r="F441" s="6">
        <v>25495.234969738431</v>
      </c>
      <c r="G441" t="s">
        <v>1022</v>
      </c>
      <c r="H441" s="3">
        <v>45365</v>
      </c>
      <c r="I441" s="3">
        <v>45280</v>
      </c>
      <c r="J441" s="3">
        <v>45378</v>
      </c>
      <c r="K441" t="s">
        <v>1025</v>
      </c>
      <c r="L441">
        <v>56</v>
      </c>
      <c r="M441" s="6">
        <v>12103</v>
      </c>
      <c r="O441">
        <f t="shared" si="30"/>
        <v>0.75800000000000001</v>
      </c>
      <c r="P441">
        <f t="shared" si="31"/>
        <v>98</v>
      </c>
      <c r="Q441">
        <f t="shared" ca="1" si="32"/>
        <v>598</v>
      </c>
      <c r="R441" t="str">
        <f t="shared" si="33"/>
        <v>Normal</v>
      </c>
      <c r="S441">
        <f t="shared" si="34"/>
        <v>25495.234969738431</v>
      </c>
    </row>
    <row r="442" spans="1:19" x14ac:dyDescent="0.35">
      <c r="A442" t="s">
        <v>453</v>
      </c>
      <c r="B442" t="s">
        <v>953</v>
      </c>
      <c r="C442" t="s">
        <v>1015</v>
      </c>
      <c r="D442" t="s">
        <v>1018</v>
      </c>
      <c r="E442" s="6">
        <v>28657</v>
      </c>
      <c r="F442" s="6">
        <v>29503.48188722922</v>
      </c>
      <c r="G442" t="s">
        <v>1023</v>
      </c>
      <c r="H442" s="3">
        <v>45567</v>
      </c>
      <c r="I442" s="3">
        <v>44943</v>
      </c>
      <c r="J442" s="3">
        <v>45340</v>
      </c>
      <c r="K442" t="s">
        <v>1026</v>
      </c>
      <c r="L442">
        <v>46</v>
      </c>
      <c r="M442" s="6">
        <v>2602</v>
      </c>
      <c r="O442">
        <f t="shared" si="30"/>
        <v>1.03</v>
      </c>
      <c r="P442">
        <f t="shared" si="31"/>
        <v>397</v>
      </c>
      <c r="Q442">
        <f t="shared" ca="1" si="32"/>
        <v>396</v>
      </c>
      <c r="R442" t="str">
        <f t="shared" si="33"/>
        <v>Normal</v>
      </c>
      <c r="S442">
        <f t="shared" si="34"/>
        <v>29503.48188722922</v>
      </c>
    </row>
    <row r="443" spans="1:19" x14ac:dyDescent="0.35">
      <c r="A443" t="s">
        <v>454</v>
      </c>
      <c r="B443" t="s">
        <v>954</v>
      </c>
      <c r="C443" t="s">
        <v>1014</v>
      </c>
      <c r="D443" t="s">
        <v>1019</v>
      </c>
      <c r="E443" s="6">
        <v>41952</v>
      </c>
      <c r="F443" s="6">
        <v>0</v>
      </c>
      <c r="G443" t="s">
        <v>1023</v>
      </c>
      <c r="H443" s="3">
        <v>45434</v>
      </c>
      <c r="I443" s="3">
        <v>45163</v>
      </c>
      <c r="J443" s="3">
        <v>45570</v>
      </c>
      <c r="K443" t="s">
        <v>1025</v>
      </c>
      <c r="L443">
        <v>48</v>
      </c>
      <c r="M443" s="6">
        <v>14013</v>
      </c>
      <c r="O443">
        <f t="shared" si="30"/>
        <v>0</v>
      </c>
      <c r="P443">
        <f t="shared" si="31"/>
        <v>407</v>
      </c>
      <c r="Q443">
        <f t="shared" ca="1" si="32"/>
        <v>529</v>
      </c>
      <c r="R443" t="str">
        <f t="shared" si="33"/>
        <v>Normal</v>
      </c>
      <c r="S443">
        <f t="shared" si="34"/>
        <v>0</v>
      </c>
    </row>
    <row r="444" spans="1:19" x14ac:dyDescent="0.35">
      <c r="A444" t="s">
        <v>455</v>
      </c>
      <c r="B444" t="s">
        <v>955</v>
      </c>
      <c r="C444" t="s">
        <v>1015</v>
      </c>
      <c r="D444" t="s">
        <v>1021</v>
      </c>
      <c r="E444" s="6">
        <v>24180</v>
      </c>
      <c r="F444" s="6">
        <v>53175.85680952797</v>
      </c>
      <c r="G444" t="s">
        <v>1022</v>
      </c>
      <c r="H444" s="3">
        <v>45468</v>
      </c>
      <c r="I444" s="3">
        <v>45054</v>
      </c>
      <c r="J444" s="3">
        <v>45366</v>
      </c>
      <c r="K444" t="s">
        <v>1026</v>
      </c>
      <c r="L444">
        <v>22</v>
      </c>
      <c r="M444" s="6">
        <v>2690</v>
      </c>
      <c r="O444">
        <f t="shared" si="30"/>
        <v>2.1989999999999998</v>
      </c>
      <c r="P444">
        <f t="shared" si="31"/>
        <v>312</v>
      </c>
      <c r="Q444">
        <f t="shared" ca="1" si="32"/>
        <v>495</v>
      </c>
      <c r="R444" t="str">
        <f t="shared" si="33"/>
        <v>Normal</v>
      </c>
      <c r="S444">
        <f t="shared" si="34"/>
        <v>53175.85680952797</v>
      </c>
    </row>
    <row r="445" spans="1:19" x14ac:dyDescent="0.35">
      <c r="A445" t="s">
        <v>456</v>
      </c>
      <c r="B445" t="s">
        <v>956</v>
      </c>
      <c r="C445" t="s">
        <v>1014</v>
      </c>
      <c r="D445" t="s">
        <v>1021</v>
      </c>
      <c r="E445" s="6">
        <v>99432</v>
      </c>
      <c r="F445" s="6">
        <v>17634.1892065381</v>
      </c>
      <c r="G445" t="s">
        <v>1023</v>
      </c>
      <c r="H445" s="3">
        <v>45409</v>
      </c>
      <c r="I445" s="3">
        <v>45190</v>
      </c>
      <c r="J445" s="3">
        <v>45569</v>
      </c>
      <c r="K445" t="s">
        <v>1026</v>
      </c>
      <c r="L445">
        <v>63</v>
      </c>
      <c r="M445" s="6">
        <v>10685</v>
      </c>
      <c r="O445">
        <f t="shared" si="30"/>
        <v>0.17699999999999999</v>
      </c>
      <c r="P445">
        <f t="shared" si="31"/>
        <v>379</v>
      </c>
      <c r="Q445">
        <f t="shared" ca="1" si="32"/>
        <v>554</v>
      </c>
      <c r="R445" t="str">
        <f t="shared" si="33"/>
        <v>High</v>
      </c>
      <c r="S445">
        <f t="shared" si="34"/>
        <v>17634.1892065381</v>
      </c>
    </row>
    <row r="446" spans="1:19" x14ac:dyDescent="0.35">
      <c r="A446" t="s">
        <v>457</v>
      </c>
      <c r="B446" t="s">
        <v>957</v>
      </c>
      <c r="C446" t="s">
        <v>1014</v>
      </c>
      <c r="D446" t="s">
        <v>1018</v>
      </c>
      <c r="E446" s="6">
        <v>80411</v>
      </c>
      <c r="F446" s="6">
        <v>7924.5859469711359</v>
      </c>
      <c r="G446" t="s">
        <v>1023</v>
      </c>
      <c r="H446" s="3">
        <v>45403</v>
      </c>
      <c r="I446" s="3">
        <v>44976</v>
      </c>
      <c r="J446" s="3">
        <v>45554</v>
      </c>
      <c r="K446" t="s">
        <v>1025</v>
      </c>
      <c r="L446">
        <v>32</v>
      </c>
      <c r="M446" s="6">
        <v>2489</v>
      </c>
      <c r="O446">
        <f t="shared" si="30"/>
        <v>9.9000000000000005E-2</v>
      </c>
      <c r="P446">
        <f t="shared" si="31"/>
        <v>578</v>
      </c>
      <c r="Q446">
        <f t="shared" ca="1" si="32"/>
        <v>560</v>
      </c>
      <c r="R446" t="str">
        <f t="shared" si="33"/>
        <v>High</v>
      </c>
      <c r="S446">
        <f t="shared" si="34"/>
        <v>7924.5859469711359</v>
      </c>
    </row>
    <row r="447" spans="1:19" x14ac:dyDescent="0.35">
      <c r="A447" t="s">
        <v>458</v>
      </c>
      <c r="B447" t="s">
        <v>958</v>
      </c>
      <c r="C447" t="s">
        <v>1013</v>
      </c>
      <c r="D447" t="s">
        <v>1019</v>
      </c>
      <c r="E447" s="6">
        <v>3622</v>
      </c>
      <c r="F447" s="6">
        <v>15780.87200262978</v>
      </c>
      <c r="G447" t="s">
        <v>1023</v>
      </c>
      <c r="H447" s="3">
        <v>45324</v>
      </c>
      <c r="I447" s="3">
        <v>45240</v>
      </c>
      <c r="J447" s="3">
        <v>45540</v>
      </c>
      <c r="K447" t="s">
        <v>1026</v>
      </c>
      <c r="L447">
        <v>64</v>
      </c>
      <c r="M447" s="6">
        <v>8864</v>
      </c>
      <c r="O447">
        <f t="shared" si="30"/>
        <v>4.3570000000000002</v>
      </c>
      <c r="P447">
        <f t="shared" si="31"/>
        <v>300</v>
      </c>
      <c r="Q447">
        <f t="shared" ca="1" si="32"/>
        <v>639</v>
      </c>
      <c r="R447" t="str">
        <f t="shared" si="33"/>
        <v>Normal</v>
      </c>
      <c r="S447">
        <f t="shared" si="34"/>
        <v>15780.87200262978</v>
      </c>
    </row>
    <row r="448" spans="1:19" x14ac:dyDescent="0.35">
      <c r="A448" t="s">
        <v>459</v>
      </c>
      <c r="B448" t="s">
        <v>959</v>
      </c>
      <c r="C448" t="s">
        <v>1013</v>
      </c>
      <c r="D448" t="s">
        <v>1019</v>
      </c>
      <c r="E448" s="6">
        <v>50756</v>
      </c>
      <c r="F448" s="6">
        <v>41612.553673215778</v>
      </c>
      <c r="G448" t="s">
        <v>1024</v>
      </c>
      <c r="H448" s="3">
        <v>45414</v>
      </c>
      <c r="I448" s="3">
        <v>45082</v>
      </c>
      <c r="J448" s="3">
        <v>45449</v>
      </c>
      <c r="K448" t="s">
        <v>1025</v>
      </c>
      <c r="L448">
        <v>29</v>
      </c>
      <c r="M448" s="6">
        <v>9240</v>
      </c>
      <c r="O448">
        <f t="shared" si="30"/>
        <v>0.82</v>
      </c>
      <c r="P448">
        <f t="shared" si="31"/>
        <v>367</v>
      </c>
      <c r="Q448">
        <f t="shared" ca="1" si="32"/>
        <v>549</v>
      </c>
      <c r="R448" t="str">
        <f t="shared" si="33"/>
        <v>High</v>
      </c>
      <c r="S448">
        <f t="shared" si="34"/>
        <v>0</v>
      </c>
    </row>
    <row r="449" spans="1:19" x14ac:dyDescent="0.35">
      <c r="A449" t="s">
        <v>460</v>
      </c>
      <c r="B449" t="s">
        <v>960</v>
      </c>
      <c r="C449" t="s">
        <v>1016</v>
      </c>
      <c r="D449" t="s">
        <v>1019</v>
      </c>
      <c r="E449" s="6">
        <v>42809</v>
      </c>
      <c r="F449" s="6">
        <v>0</v>
      </c>
      <c r="G449" t="s">
        <v>1023</v>
      </c>
      <c r="H449" s="3">
        <v>45484</v>
      </c>
      <c r="I449" s="3">
        <v>45154</v>
      </c>
      <c r="J449" s="3">
        <v>45492</v>
      </c>
      <c r="K449" t="s">
        <v>1025</v>
      </c>
      <c r="L449">
        <v>55</v>
      </c>
      <c r="M449" s="6">
        <v>12748</v>
      </c>
      <c r="O449">
        <f t="shared" si="30"/>
        <v>0</v>
      </c>
      <c r="P449">
        <f t="shared" si="31"/>
        <v>338</v>
      </c>
      <c r="Q449">
        <f t="shared" ca="1" si="32"/>
        <v>479</v>
      </c>
      <c r="R449" t="str">
        <f t="shared" si="33"/>
        <v>Normal</v>
      </c>
      <c r="S449">
        <f t="shared" si="34"/>
        <v>0</v>
      </c>
    </row>
    <row r="450" spans="1:19" x14ac:dyDescent="0.35">
      <c r="A450" t="s">
        <v>461</v>
      </c>
      <c r="B450" t="s">
        <v>961</v>
      </c>
      <c r="C450" t="s">
        <v>1013</v>
      </c>
      <c r="D450" t="s">
        <v>1017</v>
      </c>
      <c r="E450" s="6">
        <v>18725</v>
      </c>
      <c r="F450" s="6">
        <v>51256.358972248992</v>
      </c>
      <c r="G450" t="s">
        <v>1022</v>
      </c>
      <c r="H450" s="3">
        <v>45534</v>
      </c>
      <c r="I450" s="3">
        <v>44998</v>
      </c>
      <c r="J450" s="3">
        <v>45363</v>
      </c>
      <c r="K450" t="s">
        <v>1025</v>
      </c>
      <c r="L450">
        <v>28</v>
      </c>
      <c r="M450" s="6">
        <v>14677</v>
      </c>
      <c r="O450">
        <f t="shared" si="30"/>
        <v>2.7370000000000001</v>
      </c>
      <c r="P450">
        <f t="shared" si="31"/>
        <v>365</v>
      </c>
      <c r="Q450">
        <f t="shared" ca="1" si="32"/>
        <v>429</v>
      </c>
      <c r="R450" t="str">
        <f t="shared" si="33"/>
        <v>Normal</v>
      </c>
      <c r="S450">
        <f t="shared" si="34"/>
        <v>51256.358972248992</v>
      </c>
    </row>
    <row r="451" spans="1:19" x14ac:dyDescent="0.35">
      <c r="A451" t="s">
        <v>462</v>
      </c>
      <c r="B451" t="s">
        <v>962</v>
      </c>
      <c r="C451" t="s">
        <v>1016</v>
      </c>
      <c r="D451" t="s">
        <v>1020</v>
      </c>
      <c r="E451" s="6">
        <v>63396</v>
      </c>
      <c r="F451" s="6">
        <v>18743.628996796549</v>
      </c>
      <c r="G451" t="s">
        <v>1022</v>
      </c>
      <c r="H451" s="3">
        <v>45508</v>
      </c>
      <c r="I451" s="3">
        <v>45259</v>
      </c>
      <c r="J451" s="3">
        <v>45445</v>
      </c>
      <c r="K451" t="s">
        <v>1026</v>
      </c>
      <c r="L451">
        <v>46</v>
      </c>
      <c r="M451" s="6">
        <v>9786</v>
      </c>
      <c r="O451">
        <f t="shared" ref="O451:O501" si="35">IF(E451=0, 0, ROUND(F451 / E451, 3))</f>
        <v>0.29599999999999999</v>
      </c>
      <c r="P451">
        <f t="shared" ref="P451:P501" si="36">IF(AND(ISNUMBER(I451), ISNUMBER(J451)), DATEDIF(I451, J451, "D"), "")</f>
        <v>186</v>
      </c>
      <c r="Q451">
        <f t="shared" ref="Q451:Q501" ca="1" si="37">IF(ISNUMBER(H451), TODAY() - H451, "")</f>
        <v>455</v>
      </c>
      <c r="R451" t="str">
        <f t="shared" ref="R451:R501" si="38">IF(E451&gt;50000, "High","Normal")</f>
        <v>High</v>
      </c>
      <c r="S451">
        <f t="shared" ref="S451:S501" si="39">IF(G451="Rejected", 0, F451)</f>
        <v>18743.628996796549</v>
      </c>
    </row>
    <row r="452" spans="1:19" x14ac:dyDescent="0.35">
      <c r="A452" t="s">
        <v>463</v>
      </c>
      <c r="B452" t="s">
        <v>963</v>
      </c>
      <c r="C452" t="s">
        <v>1016</v>
      </c>
      <c r="D452" t="s">
        <v>1017</v>
      </c>
      <c r="E452" s="6">
        <v>53226</v>
      </c>
      <c r="F452" s="6">
        <v>29796.465441217209</v>
      </c>
      <c r="G452" t="s">
        <v>1023</v>
      </c>
      <c r="H452" s="3">
        <v>45358</v>
      </c>
      <c r="I452" s="3">
        <v>45193</v>
      </c>
      <c r="J452" s="3">
        <v>45624</v>
      </c>
      <c r="K452" t="s">
        <v>1026</v>
      </c>
      <c r="L452">
        <v>53</v>
      </c>
      <c r="M452" s="6">
        <v>10024</v>
      </c>
      <c r="O452">
        <f t="shared" si="35"/>
        <v>0.56000000000000005</v>
      </c>
      <c r="P452">
        <f t="shared" si="36"/>
        <v>431</v>
      </c>
      <c r="Q452">
        <f t="shared" ca="1" si="37"/>
        <v>605</v>
      </c>
      <c r="R452" t="str">
        <f t="shared" si="38"/>
        <v>High</v>
      </c>
      <c r="S452">
        <f t="shared" si="39"/>
        <v>29796.465441217209</v>
      </c>
    </row>
    <row r="453" spans="1:19" x14ac:dyDescent="0.35">
      <c r="A453" t="s">
        <v>464</v>
      </c>
      <c r="B453" t="s">
        <v>964</v>
      </c>
      <c r="C453" t="s">
        <v>1016</v>
      </c>
      <c r="D453" t="s">
        <v>1020</v>
      </c>
      <c r="E453" s="6">
        <v>83182</v>
      </c>
      <c r="F453" s="6">
        <v>18737.677034802851</v>
      </c>
      <c r="G453" t="s">
        <v>1023</v>
      </c>
      <c r="H453" s="3">
        <v>45355</v>
      </c>
      <c r="I453" s="3">
        <v>44996</v>
      </c>
      <c r="J453" s="3">
        <v>45354</v>
      </c>
      <c r="K453" t="s">
        <v>1026</v>
      </c>
      <c r="L453">
        <v>20</v>
      </c>
      <c r="M453" s="6">
        <v>2294</v>
      </c>
      <c r="O453">
        <f t="shared" si="35"/>
        <v>0.22500000000000001</v>
      </c>
      <c r="P453">
        <f t="shared" si="36"/>
        <v>358</v>
      </c>
      <c r="Q453">
        <f t="shared" ca="1" si="37"/>
        <v>608</v>
      </c>
      <c r="R453" t="str">
        <f t="shared" si="38"/>
        <v>High</v>
      </c>
      <c r="S453">
        <f t="shared" si="39"/>
        <v>18737.677034802851</v>
      </c>
    </row>
    <row r="454" spans="1:19" x14ac:dyDescent="0.35">
      <c r="A454" t="s">
        <v>465</v>
      </c>
      <c r="B454" t="s">
        <v>965</v>
      </c>
      <c r="C454" t="s">
        <v>1016</v>
      </c>
      <c r="D454" t="s">
        <v>1019</v>
      </c>
      <c r="E454" s="6">
        <v>84565</v>
      </c>
      <c r="F454" s="6">
        <v>51858.422534124838</v>
      </c>
      <c r="G454" t="s">
        <v>1023</v>
      </c>
      <c r="H454" s="3">
        <v>45440</v>
      </c>
      <c r="I454" s="3">
        <v>44953</v>
      </c>
      <c r="J454" s="3">
        <v>45584</v>
      </c>
      <c r="K454" t="s">
        <v>1025</v>
      </c>
      <c r="L454">
        <v>51</v>
      </c>
      <c r="M454" s="6">
        <v>7488</v>
      </c>
      <c r="O454">
        <f t="shared" si="35"/>
        <v>0.61299999999999999</v>
      </c>
      <c r="P454">
        <f t="shared" si="36"/>
        <v>631</v>
      </c>
      <c r="Q454">
        <f t="shared" ca="1" si="37"/>
        <v>523</v>
      </c>
      <c r="R454" t="str">
        <f t="shared" si="38"/>
        <v>High</v>
      </c>
      <c r="S454">
        <f t="shared" si="39"/>
        <v>51858.422534124838</v>
      </c>
    </row>
    <row r="455" spans="1:19" x14ac:dyDescent="0.35">
      <c r="A455" t="s">
        <v>466</v>
      </c>
      <c r="B455" t="s">
        <v>966</v>
      </c>
      <c r="C455" t="s">
        <v>1016</v>
      </c>
      <c r="D455" t="s">
        <v>1019</v>
      </c>
      <c r="E455" s="6">
        <v>31402</v>
      </c>
      <c r="F455" s="6">
        <v>28008.52159849957</v>
      </c>
      <c r="G455" t="s">
        <v>1023</v>
      </c>
      <c r="H455" s="3">
        <v>45412</v>
      </c>
      <c r="I455" s="3">
        <v>45006</v>
      </c>
      <c r="J455" s="3">
        <v>45304</v>
      </c>
      <c r="K455" t="s">
        <v>1026</v>
      </c>
      <c r="L455">
        <v>44</v>
      </c>
      <c r="M455" s="6">
        <v>6027</v>
      </c>
      <c r="O455">
        <f t="shared" si="35"/>
        <v>0.89200000000000002</v>
      </c>
      <c r="P455">
        <f t="shared" si="36"/>
        <v>298</v>
      </c>
      <c r="Q455">
        <f t="shared" ca="1" si="37"/>
        <v>551</v>
      </c>
      <c r="R455" t="str">
        <f t="shared" si="38"/>
        <v>Normal</v>
      </c>
      <c r="S455">
        <f t="shared" si="39"/>
        <v>28008.52159849957</v>
      </c>
    </row>
    <row r="456" spans="1:19" x14ac:dyDescent="0.35">
      <c r="A456" t="s">
        <v>467</v>
      </c>
      <c r="B456" t="s">
        <v>967</v>
      </c>
      <c r="C456" t="s">
        <v>1015</v>
      </c>
      <c r="D456" t="s">
        <v>1017</v>
      </c>
      <c r="E456" s="6">
        <v>6263</v>
      </c>
      <c r="F456" s="6">
        <v>51809.427538758602</v>
      </c>
      <c r="G456" t="s">
        <v>1023</v>
      </c>
      <c r="H456" s="3">
        <v>45439</v>
      </c>
      <c r="I456" s="3">
        <v>45139</v>
      </c>
      <c r="J456" s="3">
        <v>45467</v>
      </c>
      <c r="K456" t="s">
        <v>1025</v>
      </c>
      <c r="L456">
        <v>48</v>
      </c>
      <c r="M456" s="6">
        <v>13035</v>
      </c>
      <c r="O456">
        <f t="shared" si="35"/>
        <v>8.2720000000000002</v>
      </c>
      <c r="P456">
        <f t="shared" si="36"/>
        <v>328</v>
      </c>
      <c r="Q456">
        <f t="shared" ca="1" si="37"/>
        <v>524</v>
      </c>
      <c r="R456" t="str">
        <f t="shared" si="38"/>
        <v>Normal</v>
      </c>
      <c r="S456">
        <f t="shared" si="39"/>
        <v>51809.427538758602</v>
      </c>
    </row>
    <row r="457" spans="1:19" x14ac:dyDescent="0.35">
      <c r="A457" t="s">
        <v>468</v>
      </c>
      <c r="B457" t="s">
        <v>968</v>
      </c>
      <c r="C457" t="s">
        <v>1013</v>
      </c>
      <c r="D457" t="s">
        <v>1017</v>
      </c>
      <c r="E457" s="6">
        <v>98523</v>
      </c>
      <c r="F457" s="6">
        <v>41645.397455391823</v>
      </c>
      <c r="G457" t="s">
        <v>1022</v>
      </c>
      <c r="H457" s="3">
        <v>45540</v>
      </c>
      <c r="I457" s="3">
        <v>45058</v>
      </c>
      <c r="J457" s="3">
        <v>45453</v>
      </c>
      <c r="K457" t="s">
        <v>1026</v>
      </c>
      <c r="L457">
        <v>26</v>
      </c>
      <c r="M457" s="6">
        <v>4912</v>
      </c>
      <c r="O457">
        <f t="shared" si="35"/>
        <v>0.42299999999999999</v>
      </c>
      <c r="P457">
        <f t="shared" si="36"/>
        <v>395</v>
      </c>
      <c r="Q457">
        <f t="shared" ca="1" si="37"/>
        <v>423</v>
      </c>
      <c r="R457" t="str">
        <f t="shared" si="38"/>
        <v>High</v>
      </c>
      <c r="S457">
        <f t="shared" si="39"/>
        <v>41645.397455391823</v>
      </c>
    </row>
    <row r="458" spans="1:19" x14ac:dyDescent="0.35">
      <c r="A458" t="s">
        <v>469</v>
      </c>
      <c r="B458" t="s">
        <v>969</v>
      </c>
      <c r="C458" t="s">
        <v>1016</v>
      </c>
      <c r="D458" t="s">
        <v>1020</v>
      </c>
      <c r="E458" s="6">
        <v>48828</v>
      </c>
      <c r="F458" s="6">
        <v>65187.7196606898</v>
      </c>
      <c r="G458" t="s">
        <v>1023</v>
      </c>
      <c r="H458" s="3">
        <v>45391</v>
      </c>
      <c r="I458" s="3">
        <v>45044</v>
      </c>
      <c r="J458" s="3">
        <v>45376</v>
      </c>
      <c r="K458" t="s">
        <v>1025</v>
      </c>
      <c r="L458">
        <v>68</v>
      </c>
      <c r="M458" s="6">
        <v>11909</v>
      </c>
      <c r="O458">
        <f t="shared" si="35"/>
        <v>1.335</v>
      </c>
      <c r="P458">
        <f t="shared" si="36"/>
        <v>332</v>
      </c>
      <c r="Q458">
        <f t="shared" ca="1" si="37"/>
        <v>572</v>
      </c>
      <c r="R458" t="str">
        <f t="shared" si="38"/>
        <v>Normal</v>
      </c>
      <c r="S458">
        <f t="shared" si="39"/>
        <v>65187.7196606898</v>
      </c>
    </row>
    <row r="459" spans="1:19" x14ac:dyDescent="0.35">
      <c r="A459" t="s">
        <v>470</v>
      </c>
      <c r="B459" t="s">
        <v>970</v>
      </c>
      <c r="C459" t="s">
        <v>1014</v>
      </c>
      <c r="D459" t="s">
        <v>1021</v>
      </c>
      <c r="E459" s="6">
        <v>49924</v>
      </c>
      <c r="F459" s="6">
        <v>0</v>
      </c>
      <c r="G459" t="s">
        <v>1022</v>
      </c>
      <c r="H459" s="3">
        <v>45340</v>
      </c>
      <c r="I459" s="3">
        <v>45090</v>
      </c>
      <c r="J459" s="3">
        <v>45454</v>
      </c>
      <c r="K459" t="s">
        <v>1025</v>
      </c>
      <c r="L459">
        <v>22</v>
      </c>
      <c r="M459" s="6">
        <v>12788</v>
      </c>
      <c r="O459">
        <f t="shared" si="35"/>
        <v>0</v>
      </c>
      <c r="P459">
        <f t="shared" si="36"/>
        <v>364</v>
      </c>
      <c r="Q459">
        <f t="shared" ca="1" si="37"/>
        <v>623</v>
      </c>
      <c r="R459" t="str">
        <f t="shared" si="38"/>
        <v>Normal</v>
      </c>
      <c r="S459">
        <f t="shared" si="39"/>
        <v>0</v>
      </c>
    </row>
    <row r="460" spans="1:19" x14ac:dyDescent="0.35">
      <c r="A460" t="s">
        <v>471</v>
      </c>
      <c r="B460" t="s">
        <v>971</v>
      </c>
      <c r="C460" t="s">
        <v>1013</v>
      </c>
      <c r="D460" t="s">
        <v>1020</v>
      </c>
      <c r="E460" s="6">
        <v>76182</v>
      </c>
      <c r="F460" s="6">
        <v>24100.17164882716</v>
      </c>
      <c r="G460" t="s">
        <v>1023</v>
      </c>
      <c r="H460" s="3">
        <v>45532</v>
      </c>
      <c r="I460" s="3">
        <v>45205</v>
      </c>
      <c r="J460" s="3">
        <v>45394</v>
      </c>
      <c r="K460" t="s">
        <v>1025</v>
      </c>
      <c r="L460">
        <v>39</v>
      </c>
      <c r="M460" s="6">
        <v>6744</v>
      </c>
      <c r="O460">
        <f t="shared" si="35"/>
        <v>0.316</v>
      </c>
      <c r="P460">
        <f t="shared" si="36"/>
        <v>189</v>
      </c>
      <c r="Q460">
        <f t="shared" ca="1" si="37"/>
        <v>431</v>
      </c>
      <c r="R460" t="str">
        <f t="shared" si="38"/>
        <v>High</v>
      </c>
      <c r="S460">
        <f t="shared" si="39"/>
        <v>24100.17164882716</v>
      </c>
    </row>
    <row r="461" spans="1:19" x14ac:dyDescent="0.35">
      <c r="A461" t="s">
        <v>472</v>
      </c>
      <c r="B461" t="s">
        <v>972</v>
      </c>
      <c r="C461" t="s">
        <v>1013</v>
      </c>
      <c r="D461" t="s">
        <v>1017</v>
      </c>
      <c r="E461" s="6">
        <v>95065</v>
      </c>
      <c r="F461" s="6">
        <v>45113.827482728288</v>
      </c>
      <c r="G461" t="s">
        <v>1023</v>
      </c>
      <c r="H461" s="3">
        <v>45499</v>
      </c>
      <c r="I461" s="3">
        <v>45039</v>
      </c>
      <c r="J461" s="3">
        <v>45442</v>
      </c>
      <c r="K461" t="s">
        <v>1026</v>
      </c>
      <c r="L461">
        <v>39</v>
      </c>
      <c r="M461" s="6">
        <v>3873</v>
      </c>
      <c r="O461">
        <f t="shared" si="35"/>
        <v>0.47499999999999998</v>
      </c>
      <c r="P461">
        <f t="shared" si="36"/>
        <v>403</v>
      </c>
      <c r="Q461">
        <f t="shared" ca="1" si="37"/>
        <v>464</v>
      </c>
      <c r="R461" t="str">
        <f t="shared" si="38"/>
        <v>High</v>
      </c>
      <c r="S461">
        <f t="shared" si="39"/>
        <v>45113.827482728288</v>
      </c>
    </row>
    <row r="462" spans="1:19" x14ac:dyDescent="0.35">
      <c r="A462" t="s">
        <v>473</v>
      </c>
      <c r="B462" t="s">
        <v>973</v>
      </c>
      <c r="C462" t="s">
        <v>1016</v>
      </c>
      <c r="D462" t="s">
        <v>1017</v>
      </c>
      <c r="E462" s="6">
        <v>61052</v>
      </c>
      <c r="F462" s="6">
        <v>21909.169195379531</v>
      </c>
      <c r="G462" t="s">
        <v>1023</v>
      </c>
      <c r="H462" s="3">
        <v>45316</v>
      </c>
      <c r="I462" s="3">
        <v>45065</v>
      </c>
      <c r="J462" s="3">
        <v>45431</v>
      </c>
      <c r="K462" t="s">
        <v>1025</v>
      </c>
      <c r="L462">
        <v>49</v>
      </c>
      <c r="M462" s="6">
        <v>14855</v>
      </c>
      <c r="O462">
        <f t="shared" si="35"/>
        <v>0.35899999999999999</v>
      </c>
      <c r="P462">
        <f t="shared" si="36"/>
        <v>366</v>
      </c>
      <c r="Q462">
        <f t="shared" ca="1" si="37"/>
        <v>647</v>
      </c>
      <c r="R462" t="str">
        <f t="shared" si="38"/>
        <v>High</v>
      </c>
      <c r="S462">
        <f t="shared" si="39"/>
        <v>21909.169195379531</v>
      </c>
    </row>
    <row r="463" spans="1:19" x14ac:dyDescent="0.35">
      <c r="A463" t="s">
        <v>474</v>
      </c>
      <c r="B463" t="s">
        <v>974</v>
      </c>
      <c r="C463" t="s">
        <v>1015</v>
      </c>
      <c r="D463" t="s">
        <v>1018</v>
      </c>
      <c r="E463" s="6">
        <v>13664</v>
      </c>
      <c r="F463" s="6">
        <v>62444.205951572869</v>
      </c>
      <c r="G463" t="s">
        <v>1023</v>
      </c>
      <c r="H463" s="3">
        <v>45415</v>
      </c>
      <c r="I463" s="3">
        <v>44968</v>
      </c>
      <c r="J463" s="3">
        <v>45636</v>
      </c>
      <c r="K463" t="s">
        <v>1025</v>
      </c>
      <c r="L463">
        <v>54</v>
      </c>
      <c r="M463" s="6">
        <v>5258</v>
      </c>
      <c r="O463">
        <f t="shared" si="35"/>
        <v>4.57</v>
      </c>
      <c r="P463">
        <f t="shared" si="36"/>
        <v>668</v>
      </c>
      <c r="Q463">
        <f t="shared" ca="1" si="37"/>
        <v>548</v>
      </c>
      <c r="R463" t="str">
        <f t="shared" si="38"/>
        <v>Normal</v>
      </c>
      <c r="S463">
        <f t="shared" si="39"/>
        <v>62444.205951572869</v>
      </c>
    </row>
    <row r="464" spans="1:19" x14ac:dyDescent="0.35">
      <c r="A464" t="s">
        <v>475</v>
      </c>
      <c r="B464" t="s">
        <v>975</v>
      </c>
      <c r="C464" t="s">
        <v>1016</v>
      </c>
      <c r="D464" t="s">
        <v>1017</v>
      </c>
      <c r="E464" s="6">
        <v>37737</v>
      </c>
      <c r="F464" s="6">
        <v>91736.129799045317</v>
      </c>
      <c r="G464" t="s">
        <v>1022</v>
      </c>
      <c r="H464" s="3">
        <v>45407</v>
      </c>
      <c r="I464" s="3">
        <v>45199</v>
      </c>
      <c r="J464" s="3">
        <v>45335</v>
      </c>
      <c r="K464" t="s">
        <v>1025</v>
      </c>
      <c r="L464">
        <v>54</v>
      </c>
      <c r="M464" s="6">
        <v>4817</v>
      </c>
      <c r="O464">
        <f t="shared" si="35"/>
        <v>2.431</v>
      </c>
      <c r="P464">
        <f t="shared" si="36"/>
        <v>136</v>
      </c>
      <c r="Q464">
        <f t="shared" ca="1" si="37"/>
        <v>556</v>
      </c>
      <c r="R464" t="str">
        <f t="shared" si="38"/>
        <v>Normal</v>
      </c>
      <c r="S464">
        <f t="shared" si="39"/>
        <v>91736.129799045317</v>
      </c>
    </row>
    <row r="465" spans="1:19" x14ac:dyDescent="0.35">
      <c r="A465" t="s">
        <v>476</v>
      </c>
      <c r="B465" t="s">
        <v>976</v>
      </c>
      <c r="C465" t="s">
        <v>1015</v>
      </c>
      <c r="D465" t="s">
        <v>1018</v>
      </c>
      <c r="E465" s="6">
        <v>91563</v>
      </c>
      <c r="F465" s="6">
        <v>70609.148655436089</v>
      </c>
      <c r="G465" t="s">
        <v>1023</v>
      </c>
      <c r="H465" s="3">
        <v>45559</v>
      </c>
      <c r="I465" s="3">
        <v>45069</v>
      </c>
      <c r="J465" s="3">
        <v>45579</v>
      </c>
      <c r="K465" t="s">
        <v>1025</v>
      </c>
      <c r="L465">
        <v>68</v>
      </c>
      <c r="M465" s="6">
        <v>10636</v>
      </c>
      <c r="O465">
        <f t="shared" si="35"/>
        <v>0.77100000000000002</v>
      </c>
      <c r="P465">
        <f t="shared" si="36"/>
        <v>510</v>
      </c>
      <c r="Q465">
        <f t="shared" ca="1" si="37"/>
        <v>404</v>
      </c>
      <c r="R465" t="str">
        <f t="shared" si="38"/>
        <v>High</v>
      </c>
      <c r="S465">
        <f t="shared" si="39"/>
        <v>70609.148655436089</v>
      </c>
    </row>
    <row r="466" spans="1:19" x14ac:dyDescent="0.35">
      <c r="A466" t="s">
        <v>477</v>
      </c>
      <c r="B466" t="s">
        <v>977</v>
      </c>
      <c r="C466" t="s">
        <v>1014</v>
      </c>
      <c r="D466" t="s">
        <v>1021</v>
      </c>
      <c r="E466" s="6">
        <v>31373</v>
      </c>
      <c r="F466" s="6">
        <v>42402.629698503893</v>
      </c>
      <c r="G466" t="s">
        <v>1023</v>
      </c>
      <c r="H466" s="3">
        <v>45364</v>
      </c>
      <c r="I466" s="3">
        <v>44951</v>
      </c>
      <c r="J466" s="3">
        <v>45560</v>
      </c>
      <c r="K466" t="s">
        <v>1025</v>
      </c>
      <c r="L466">
        <v>58</v>
      </c>
      <c r="M466" s="6">
        <v>5641</v>
      </c>
      <c r="O466">
        <f t="shared" si="35"/>
        <v>1.3520000000000001</v>
      </c>
      <c r="P466">
        <f t="shared" si="36"/>
        <v>609</v>
      </c>
      <c r="Q466">
        <f t="shared" ca="1" si="37"/>
        <v>599</v>
      </c>
      <c r="R466" t="str">
        <f t="shared" si="38"/>
        <v>Normal</v>
      </c>
      <c r="S466">
        <f t="shared" si="39"/>
        <v>42402.629698503893</v>
      </c>
    </row>
    <row r="467" spans="1:19" x14ac:dyDescent="0.35">
      <c r="A467" t="s">
        <v>478</v>
      </c>
      <c r="B467" t="s">
        <v>978</v>
      </c>
      <c r="C467" t="s">
        <v>1013</v>
      </c>
      <c r="D467" t="s">
        <v>1020</v>
      </c>
      <c r="E467" s="6">
        <v>38397</v>
      </c>
      <c r="F467" s="6">
        <v>30164.861414211959</v>
      </c>
      <c r="G467" t="s">
        <v>1023</v>
      </c>
      <c r="H467" s="3">
        <v>45561</v>
      </c>
      <c r="I467" s="3">
        <v>44976</v>
      </c>
      <c r="J467" s="3">
        <v>45427</v>
      </c>
      <c r="K467" t="s">
        <v>1025</v>
      </c>
      <c r="L467">
        <v>46</v>
      </c>
      <c r="M467" s="6">
        <v>6458</v>
      </c>
      <c r="O467">
        <f t="shared" si="35"/>
        <v>0.78600000000000003</v>
      </c>
      <c r="P467">
        <f t="shared" si="36"/>
        <v>451</v>
      </c>
      <c r="Q467">
        <f t="shared" ca="1" si="37"/>
        <v>402</v>
      </c>
      <c r="R467" t="str">
        <f t="shared" si="38"/>
        <v>Normal</v>
      </c>
      <c r="S467">
        <f t="shared" si="39"/>
        <v>30164.861414211959</v>
      </c>
    </row>
    <row r="468" spans="1:19" x14ac:dyDescent="0.35">
      <c r="A468" t="s">
        <v>479</v>
      </c>
      <c r="B468" t="s">
        <v>979</v>
      </c>
      <c r="C468" t="s">
        <v>1014</v>
      </c>
      <c r="D468" t="s">
        <v>1020</v>
      </c>
      <c r="E468" s="6">
        <v>88145</v>
      </c>
      <c r="F468" s="6">
        <v>56204.893512914226</v>
      </c>
      <c r="G468" t="s">
        <v>1023</v>
      </c>
      <c r="H468" s="3">
        <v>45485</v>
      </c>
      <c r="I468" s="3">
        <v>45061</v>
      </c>
      <c r="J468" s="3">
        <v>45654</v>
      </c>
      <c r="K468" t="s">
        <v>1026</v>
      </c>
      <c r="L468">
        <v>45</v>
      </c>
      <c r="M468" s="6">
        <v>7307</v>
      </c>
      <c r="O468">
        <f t="shared" si="35"/>
        <v>0.63800000000000001</v>
      </c>
      <c r="P468">
        <f t="shared" si="36"/>
        <v>593</v>
      </c>
      <c r="Q468">
        <f t="shared" ca="1" si="37"/>
        <v>478</v>
      </c>
      <c r="R468" t="str">
        <f t="shared" si="38"/>
        <v>High</v>
      </c>
      <c r="S468">
        <f t="shared" si="39"/>
        <v>56204.893512914226</v>
      </c>
    </row>
    <row r="469" spans="1:19" x14ac:dyDescent="0.35">
      <c r="A469" t="s">
        <v>480</v>
      </c>
      <c r="B469" t="s">
        <v>980</v>
      </c>
      <c r="C469" t="s">
        <v>1015</v>
      </c>
      <c r="D469" t="s">
        <v>1018</v>
      </c>
      <c r="E469" s="6">
        <v>40709</v>
      </c>
      <c r="F469" s="6">
        <v>41661.075072048268</v>
      </c>
      <c r="G469" t="s">
        <v>1023</v>
      </c>
      <c r="H469" s="3">
        <v>45541</v>
      </c>
      <c r="I469" s="3">
        <v>45250</v>
      </c>
      <c r="J469" s="3">
        <v>45445</v>
      </c>
      <c r="K469" t="s">
        <v>1026</v>
      </c>
      <c r="L469">
        <v>33</v>
      </c>
      <c r="M469" s="6">
        <v>10933</v>
      </c>
      <c r="O469">
        <f t="shared" si="35"/>
        <v>1.0229999999999999</v>
      </c>
      <c r="P469">
        <f t="shared" si="36"/>
        <v>195</v>
      </c>
      <c r="Q469">
        <f t="shared" ca="1" si="37"/>
        <v>422</v>
      </c>
      <c r="R469" t="str">
        <f t="shared" si="38"/>
        <v>Normal</v>
      </c>
      <c r="S469">
        <f t="shared" si="39"/>
        <v>41661.075072048268</v>
      </c>
    </row>
    <row r="470" spans="1:19" x14ac:dyDescent="0.35">
      <c r="A470" t="s">
        <v>481</v>
      </c>
      <c r="B470" t="s">
        <v>981</v>
      </c>
      <c r="C470" t="s">
        <v>1015</v>
      </c>
      <c r="D470" t="s">
        <v>1020</v>
      </c>
      <c r="E470" s="6">
        <v>63120</v>
      </c>
      <c r="F470" s="6">
        <v>17869.39824229875</v>
      </c>
      <c r="G470" t="s">
        <v>1023</v>
      </c>
      <c r="H470" s="3">
        <v>45452</v>
      </c>
      <c r="I470" s="3">
        <v>44933</v>
      </c>
      <c r="J470" s="3">
        <v>45537</v>
      </c>
      <c r="K470" t="s">
        <v>1025</v>
      </c>
      <c r="L470">
        <v>36</v>
      </c>
      <c r="M470" s="6">
        <v>4041</v>
      </c>
      <c r="O470">
        <f t="shared" si="35"/>
        <v>0.28299999999999997</v>
      </c>
      <c r="P470">
        <f t="shared" si="36"/>
        <v>604</v>
      </c>
      <c r="Q470">
        <f t="shared" ca="1" si="37"/>
        <v>511</v>
      </c>
      <c r="R470" t="str">
        <f t="shared" si="38"/>
        <v>High</v>
      </c>
      <c r="S470">
        <f t="shared" si="39"/>
        <v>17869.39824229875</v>
      </c>
    </row>
    <row r="471" spans="1:19" x14ac:dyDescent="0.35">
      <c r="A471" t="s">
        <v>482</v>
      </c>
      <c r="B471" t="s">
        <v>982</v>
      </c>
      <c r="C471" t="s">
        <v>1014</v>
      </c>
      <c r="D471" t="s">
        <v>1017</v>
      </c>
      <c r="E471" s="6">
        <v>21250</v>
      </c>
      <c r="F471" s="6">
        <v>61233.192476495897</v>
      </c>
      <c r="G471" t="s">
        <v>1024</v>
      </c>
      <c r="H471" s="3">
        <v>45587</v>
      </c>
      <c r="I471" s="3">
        <v>45148</v>
      </c>
      <c r="J471" s="3">
        <v>45351</v>
      </c>
      <c r="K471" t="s">
        <v>1026</v>
      </c>
      <c r="L471">
        <v>37</v>
      </c>
      <c r="M471" s="6">
        <v>2679</v>
      </c>
      <c r="O471">
        <f t="shared" si="35"/>
        <v>2.8820000000000001</v>
      </c>
      <c r="P471">
        <f t="shared" si="36"/>
        <v>203</v>
      </c>
      <c r="Q471">
        <f t="shared" ca="1" si="37"/>
        <v>376</v>
      </c>
      <c r="R471" t="str">
        <f t="shared" si="38"/>
        <v>Normal</v>
      </c>
      <c r="S471">
        <f t="shared" si="39"/>
        <v>0</v>
      </c>
    </row>
    <row r="472" spans="1:19" x14ac:dyDescent="0.35">
      <c r="A472" t="s">
        <v>483</v>
      </c>
      <c r="B472" t="s">
        <v>983</v>
      </c>
      <c r="C472" t="s">
        <v>1015</v>
      </c>
      <c r="D472" t="s">
        <v>1019</v>
      </c>
      <c r="E472" s="6">
        <v>23172</v>
      </c>
      <c r="F472" s="6">
        <v>56798.624279662406</v>
      </c>
      <c r="G472" t="s">
        <v>1023</v>
      </c>
      <c r="H472" s="3">
        <v>45463</v>
      </c>
      <c r="I472" s="3">
        <v>44982</v>
      </c>
      <c r="J472" s="3">
        <v>45464</v>
      </c>
      <c r="K472" t="s">
        <v>1026</v>
      </c>
      <c r="L472">
        <v>64</v>
      </c>
      <c r="M472" s="6">
        <v>12659</v>
      </c>
      <c r="O472">
        <f t="shared" si="35"/>
        <v>2.4510000000000001</v>
      </c>
      <c r="P472">
        <f t="shared" si="36"/>
        <v>482</v>
      </c>
      <c r="Q472">
        <f t="shared" ca="1" si="37"/>
        <v>500</v>
      </c>
      <c r="R472" t="str">
        <f t="shared" si="38"/>
        <v>Normal</v>
      </c>
      <c r="S472">
        <f t="shared" si="39"/>
        <v>56798.624279662406</v>
      </c>
    </row>
    <row r="473" spans="1:19" x14ac:dyDescent="0.35">
      <c r="A473" t="s">
        <v>484</v>
      </c>
      <c r="B473" t="s">
        <v>984</v>
      </c>
      <c r="C473" t="s">
        <v>1014</v>
      </c>
      <c r="D473" t="s">
        <v>1018</v>
      </c>
      <c r="E473" s="6">
        <v>13555</v>
      </c>
      <c r="F473" s="6">
        <v>36230.112788852239</v>
      </c>
      <c r="G473" t="s">
        <v>1022</v>
      </c>
      <c r="H473" s="3">
        <v>45549</v>
      </c>
      <c r="I473" s="3">
        <v>45060</v>
      </c>
      <c r="J473" s="3">
        <v>45323</v>
      </c>
      <c r="K473" t="s">
        <v>1025</v>
      </c>
      <c r="L473">
        <v>48</v>
      </c>
      <c r="M473" s="6">
        <v>13889</v>
      </c>
      <c r="O473">
        <f t="shared" si="35"/>
        <v>2.673</v>
      </c>
      <c r="P473">
        <f t="shared" si="36"/>
        <v>263</v>
      </c>
      <c r="Q473">
        <f t="shared" ca="1" si="37"/>
        <v>414</v>
      </c>
      <c r="R473" t="str">
        <f t="shared" si="38"/>
        <v>Normal</v>
      </c>
      <c r="S473">
        <f t="shared" si="39"/>
        <v>36230.112788852239</v>
      </c>
    </row>
    <row r="474" spans="1:19" x14ac:dyDescent="0.35">
      <c r="A474" t="s">
        <v>485</v>
      </c>
      <c r="B474" t="s">
        <v>985</v>
      </c>
      <c r="C474" t="s">
        <v>1013</v>
      </c>
      <c r="D474" t="s">
        <v>1020</v>
      </c>
      <c r="E474" s="6">
        <v>89410</v>
      </c>
      <c r="F474" s="6">
        <v>7351.0536344897428</v>
      </c>
      <c r="G474" t="s">
        <v>1023</v>
      </c>
      <c r="H474" s="3">
        <v>45398</v>
      </c>
      <c r="I474" s="3">
        <v>45123</v>
      </c>
      <c r="J474" s="3">
        <v>45398</v>
      </c>
      <c r="K474" t="s">
        <v>1025</v>
      </c>
      <c r="L474">
        <v>39</v>
      </c>
      <c r="M474" s="6">
        <v>7738</v>
      </c>
      <c r="O474">
        <f t="shared" si="35"/>
        <v>8.2000000000000003E-2</v>
      </c>
      <c r="P474">
        <f t="shared" si="36"/>
        <v>275</v>
      </c>
      <c r="Q474">
        <f t="shared" ca="1" si="37"/>
        <v>565</v>
      </c>
      <c r="R474" t="str">
        <f t="shared" si="38"/>
        <v>High</v>
      </c>
      <c r="S474">
        <f t="shared" si="39"/>
        <v>7351.0536344897428</v>
      </c>
    </row>
    <row r="475" spans="1:19" x14ac:dyDescent="0.35">
      <c r="A475" t="s">
        <v>486</v>
      </c>
      <c r="B475" t="s">
        <v>986</v>
      </c>
      <c r="C475" t="s">
        <v>1014</v>
      </c>
      <c r="D475" t="s">
        <v>1018</v>
      </c>
      <c r="E475" s="6">
        <v>80617</v>
      </c>
      <c r="F475" s="6">
        <v>19348.700105394029</v>
      </c>
      <c r="G475" t="s">
        <v>1023</v>
      </c>
      <c r="H475" s="3">
        <v>45410</v>
      </c>
      <c r="I475" s="3">
        <v>45049</v>
      </c>
      <c r="J475" s="3">
        <v>45595</v>
      </c>
      <c r="K475" t="s">
        <v>1025</v>
      </c>
      <c r="L475">
        <v>46</v>
      </c>
      <c r="M475" s="6">
        <v>7668</v>
      </c>
      <c r="O475">
        <f t="shared" si="35"/>
        <v>0.24</v>
      </c>
      <c r="P475">
        <f t="shared" si="36"/>
        <v>546</v>
      </c>
      <c r="Q475">
        <f t="shared" ca="1" si="37"/>
        <v>553</v>
      </c>
      <c r="R475" t="str">
        <f t="shared" si="38"/>
        <v>High</v>
      </c>
      <c r="S475">
        <f t="shared" si="39"/>
        <v>19348.700105394029</v>
      </c>
    </row>
    <row r="476" spans="1:19" x14ac:dyDescent="0.35">
      <c r="A476" t="s">
        <v>487</v>
      </c>
      <c r="B476" t="s">
        <v>987</v>
      </c>
      <c r="C476" t="s">
        <v>1013</v>
      </c>
      <c r="D476" t="s">
        <v>1018</v>
      </c>
      <c r="E476" s="6">
        <v>55276</v>
      </c>
      <c r="F476" s="6">
        <v>44379.146534510561</v>
      </c>
      <c r="G476" t="s">
        <v>1023</v>
      </c>
      <c r="H476" s="3">
        <v>45569</v>
      </c>
      <c r="I476" s="3">
        <v>45284</v>
      </c>
      <c r="J476" s="3">
        <v>45560</v>
      </c>
      <c r="K476" t="s">
        <v>1026</v>
      </c>
      <c r="L476">
        <v>37</v>
      </c>
      <c r="M476" s="6">
        <v>11550</v>
      </c>
      <c r="O476">
        <f t="shared" si="35"/>
        <v>0.80300000000000005</v>
      </c>
      <c r="P476">
        <f t="shared" si="36"/>
        <v>276</v>
      </c>
      <c r="Q476">
        <f t="shared" ca="1" si="37"/>
        <v>394</v>
      </c>
      <c r="R476" t="str">
        <f t="shared" si="38"/>
        <v>High</v>
      </c>
      <c r="S476">
        <f t="shared" si="39"/>
        <v>44379.146534510561</v>
      </c>
    </row>
    <row r="477" spans="1:19" x14ac:dyDescent="0.35">
      <c r="A477" t="s">
        <v>488</v>
      </c>
      <c r="B477" t="s">
        <v>988</v>
      </c>
      <c r="C477" t="s">
        <v>1014</v>
      </c>
      <c r="D477" t="s">
        <v>1019</v>
      </c>
      <c r="E477" s="6">
        <v>59492</v>
      </c>
      <c r="F477" s="6">
        <v>0</v>
      </c>
      <c r="G477" t="s">
        <v>1023</v>
      </c>
      <c r="H477" s="3">
        <v>45464</v>
      </c>
      <c r="I477" s="3">
        <v>44980</v>
      </c>
      <c r="J477" s="3">
        <v>45496</v>
      </c>
      <c r="K477" t="s">
        <v>1025</v>
      </c>
      <c r="L477">
        <v>23</v>
      </c>
      <c r="M477" s="6">
        <v>9697</v>
      </c>
      <c r="O477">
        <f t="shared" si="35"/>
        <v>0</v>
      </c>
      <c r="P477">
        <f t="shared" si="36"/>
        <v>516</v>
      </c>
      <c r="Q477">
        <f t="shared" ca="1" si="37"/>
        <v>499</v>
      </c>
      <c r="R477" t="str">
        <f t="shared" si="38"/>
        <v>High</v>
      </c>
      <c r="S477">
        <f t="shared" si="39"/>
        <v>0</v>
      </c>
    </row>
    <row r="478" spans="1:19" x14ac:dyDescent="0.35">
      <c r="A478" t="s">
        <v>489</v>
      </c>
      <c r="B478" t="s">
        <v>989</v>
      </c>
      <c r="C478" t="s">
        <v>1015</v>
      </c>
      <c r="D478" t="s">
        <v>1017</v>
      </c>
      <c r="E478" s="6">
        <v>55002</v>
      </c>
      <c r="F478" s="6">
        <v>85182.272270988746</v>
      </c>
      <c r="G478" t="s">
        <v>1023</v>
      </c>
      <c r="H478" s="3">
        <v>45496</v>
      </c>
      <c r="I478" s="3">
        <v>45196</v>
      </c>
      <c r="J478" s="3">
        <v>45518</v>
      </c>
      <c r="K478" t="s">
        <v>1026</v>
      </c>
      <c r="L478">
        <v>20</v>
      </c>
      <c r="M478" s="6">
        <v>10033</v>
      </c>
      <c r="O478">
        <f t="shared" si="35"/>
        <v>1.5489999999999999</v>
      </c>
      <c r="P478">
        <f t="shared" si="36"/>
        <v>322</v>
      </c>
      <c r="Q478">
        <f t="shared" ca="1" si="37"/>
        <v>467</v>
      </c>
      <c r="R478" t="str">
        <f t="shared" si="38"/>
        <v>High</v>
      </c>
      <c r="S478">
        <f t="shared" si="39"/>
        <v>85182.272270988746</v>
      </c>
    </row>
    <row r="479" spans="1:19" x14ac:dyDescent="0.35">
      <c r="A479" t="s">
        <v>490</v>
      </c>
      <c r="B479" t="s">
        <v>990</v>
      </c>
      <c r="C479" t="s">
        <v>1014</v>
      </c>
      <c r="D479" t="s">
        <v>1018</v>
      </c>
      <c r="E479" s="6">
        <v>91599</v>
      </c>
      <c r="F479" s="6">
        <v>30825.092762024629</v>
      </c>
      <c r="G479" t="s">
        <v>1023</v>
      </c>
      <c r="H479" s="3">
        <v>45417</v>
      </c>
      <c r="I479" s="3">
        <v>45076</v>
      </c>
      <c r="J479" s="3">
        <v>45402</v>
      </c>
      <c r="K479" t="s">
        <v>1025</v>
      </c>
      <c r="L479">
        <v>69</v>
      </c>
      <c r="M479" s="6">
        <v>2062</v>
      </c>
      <c r="O479">
        <f t="shared" si="35"/>
        <v>0.33700000000000002</v>
      </c>
      <c r="P479">
        <f t="shared" si="36"/>
        <v>326</v>
      </c>
      <c r="Q479">
        <f t="shared" ca="1" si="37"/>
        <v>546</v>
      </c>
      <c r="R479" t="str">
        <f t="shared" si="38"/>
        <v>High</v>
      </c>
      <c r="S479">
        <f t="shared" si="39"/>
        <v>30825.092762024629</v>
      </c>
    </row>
    <row r="480" spans="1:19" x14ac:dyDescent="0.35">
      <c r="A480" t="s">
        <v>491</v>
      </c>
      <c r="B480" t="s">
        <v>991</v>
      </c>
      <c r="C480" t="s">
        <v>1015</v>
      </c>
      <c r="D480" t="s">
        <v>1020</v>
      </c>
      <c r="E480" s="6">
        <v>74355</v>
      </c>
      <c r="F480" s="6">
        <v>30255.68266555333</v>
      </c>
      <c r="G480" t="s">
        <v>1023</v>
      </c>
      <c r="H480" s="3">
        <v>45320</v>
      </c>
      <c r="I480" s="3">
        <v>45241</v>
      </c>
      <c r="J480" s="3">
        <v>45446</v>
      </c>
      <c r="K480" t="s">
        <v>1026</v>
      </c>
      <c r="L480">
        <v>20</v>
      </c>
      <c r="M480" s="6">
        <v>9829</v>
      </c>
      <c r="O480">
        <f t="shared" si="35"/>
        <v>0.40699999999999997</v>
      </c>
      <c r="P480">
        <f t="shared" si="36"/>
        <v>205</v>
      </c>
      <c r="Q480">
        <f t="shared" ca="1" si="37"/>
        <v>643</v>
      </c>
      <c r="R480" t="str">
        <f t="shared" si="38"/>
        <v>High</v>
      </c>
      <c r="S480">
        <f t="shared" si="39"/>
        <v>30255.68266555333</v>
      </c>
    </row>
    <row r="481" spans="1:19" x14ac:dyDescent="0.35">
      <c r="A481" t="s">
        <v>492</v>
      </c>
      <c r="B481" t="s">
        <v>992</v>
      </c>
      <c r="C481" t="s">
        <v>1014</v>
      </c>
      <c r="D481" t="s">
        <v>1021</v>
      </c>
      <c r="E481" s="6">
        <v>93248</v>
      </c>
      <c r="F481" s="6">
        <v>38106.11678827116</v>
      </c>
      <c r="G481" t="s">
        <v>1023</v>
      </c>
      <c r="H481" s="3">
        <v>45460</v>
      </c>
      <c r="I481" s="3">
        <v>45056</v>
      </c>
      <c r="J481" s="3">
        <v>45460</v>
      </c>
      <c r="K481" t="s">
        <v>1025</v>
      </c>
      <c r="L481">
        <v>45</v>
      </c>
      <c r="M481" s="6">
        <v>12751</v>
      </c>
      <c r="O481">
        <f t="shared" si="35"/>
        <v>0.40899999999999997</v>
      </c>
      <c r="P481">
        <f t="shared" si="36"/>
        <v>404</v>
      </c>
      <c r="Q481">
        <f t="shared" ca="1" si="37"/>
        <v>503</v>
      </c>
      <c r="R481" t="str">
        <f t="shared" si="38"/>
        <v>High</v>
      </c>
      <c r="S481">
        <f t="shared" si="39"/>
        <v>38106.11678827116</v>
      </c>
    </row>
    <row r="482" spans="1:19" x14ac:dyDescent="0.35">
      <c r="A482" t="s">
        <v>493</v>
      </c>
      <c r="B482" t="s">
        <v>993</v>
      </c>
      <c r="C482" t="s">
        <v>1014</v>
      </c>
      <c r="D482" t="s">
        <v>1018</v>
      </c>
      <c r="E482" s="6">
        <v>26762</v>
      </c>
      <c r="F482" s="6">
        <v>74769.761364762715</v>
      </c>
      <c r="G482" t="s">
        <v>1023</v>
      </c>
      <c r="H482" s="3">
        <v>45441</v>
      </c>
      <c r="I482" s="3">
        <v>45186</v>
      </c>
      <c r="J482" s="3">
        <v>45371</v>
      </c>
      <c r="K482" t="s">
        <v>1025</v>
      </c>
      <c r="L482">
        <v>64</v>
      </c>
      <c r="M482" s="6">
        <v>13961</v>
      </c>
      <c r="O482">
        <f t="shared" si="35"/>
        <v>2.794</v>
      </c>
      <c r="P482">
        <f t="shared" si="36"/>
        <v>185</v>
      </c>
      <c r="Q482">
        <f t="shared" ca="1" si="37"/>
        <v>522</v>
      </c>
      <c r="R482" t="str">
        <f t="shared" si="38"/>
        <v>Normal</v>
      </c>
      <c r="S482">
        <f t="shared" si="39"/>
        <v>74769.761364762715</v>
      </c>
    </row>
    <row r="483" spans="1:19" x14ac:dyDescent="0.35">
      <c r="A483" t="s">
        <v>494</v>
      </c>
      <c r="B483" t="s">
        <v>994</v>
      </c>
      <c r="C483" t="s">
        <v>1016</v>
      </c>
      <c r="D483" t="s">
        <v>1018</v>
      </c>
      <c r="E483" s="6">
        <v>13046</v>
      </c>
      <c r="F483" s="6">
        <v>14793.25973470638</v>
      </c>
      <c r="G483" t="s">
        <v>1024</v>
      </c>
      <c r="H483" s="3">
        <v>45314</v>
      </c>
      <c r="I483" s="3">
        <v>45291</v>
      </c>
      <c r="J483" s="3">
        <v>45623</v>
      </c>
      <c r="K483" t="s">
        <v>1026</v>
      </c>
      <c r="L483">
        <v>39</v>
      </c>
      <c r="M483" s="6">
        <v>9352</v>
      </c>
      <c r="O483">
        <f t="shared" si="35"/>
        <v>1.1339999999999999</v>
      </c>
      <c r="P483">
        <f t="shared" si="36"/>
        <v>332</v>
      </c>
      <c r="Q483">
        <f t="shared" ca="1" si="37"/>
        <v>649</v>
      </c>
      <c r="R483" t="str">
        <f t="shared" si="38"/>
        <v>Normal</v>
      </c>
      <c r="S483">
        <f t="shared" si="39"/>
        <v>0</v>
      </c>
    </row>
    <row r="484" spans="1:19" x14ac:dyDescent="0.35">
      <c r="A484" t="s">
        <v>495</v>
      </c>
      <c r="B484" t="s">
        <v>995</v>
      </c>
      <c r="C484" t="s">
        <v>1015</v>
      </c>
      <c r="D484" t="s">
        <v>1019</v>
      </c>
      <c r="E484" s="6">
        <v>98999</v>
      </c>
      <c r="F484" s="6">
        <v>30319.29353303017</v>
      </c>
      <c r="G484" t="s">
        <v>1023</v>
      </c>
      <c r="H484" s="3">
        <v>45296</v>
      </c>
      <c r="I484" s="3">
        <v>45189</v>
      </c>
      <c r="J484" s="3">
        <v>45463</v>
      </c>
      <c r="K484" t="s">
        <v>1026</v>
      </c>
      <c r="L484">
        <v>42</v>
      </c>
      <c r="M484" s="6">
        <v>8915</v>
      </c>
      <c r="O484">
        <f t="shared" si="35"/>
        <v>0.30599999999999999</v>
      </c>
      <c r="P484">
        <f t="shared" si="36"/>
        <v>274</v>
      </c>
      <c r="Q484">
        <f t="shared" ca="1" si="37"/>
        <v>667</v>
      </c>
      <c r="R484" t="str">
        <f t="shared" si="38"/>
        <v>High</v>
      </c>
      <c r="S484">
        <f t="shared" si="39"/>
        <v>30319.29353303017</v>
      </c>
    </row>
    <row r="485" spans="1:19" x14ac:dyDescent="0.35">
      <c r="A485" t="s">
        <v>496</v>
      </c>
      <c r="B485" t="s">
        <v>996</v>
      </c>
      <c r="C485" t="s">
        <v>1016</v>
      </c>
      <c r="D485" t="s">
        <v>1017</v>
      </c>
      <c r="E485" s="6">
        <v>30769</v>
      </c>
      <c r="F485" s="6">
        <v>0</v>
      </c>
      <c r="G485" t="s">
        <v>1023</v>
      </c>
      <c r="H485" s="3">
        <v>45470</v>
      </c>
      <c r="I485" s="3">
        <v>45201</v>
      </c>
      <c r="J485" s="3">
        <v>45364</v>
      </c>
      <c r="K485" t="s">
        <v>1026</v>
      </c>
      <c r="L485">
        <v>29</v>
      </c>
      <c r="M485" s="6">
        <v>14543</v>
      </c>
      <c r="O485">
        <f t="shared" si="35"/>
        <v>0</v>
      </c>
      <c r="P485">
        <f t="shared" si="36"/>
        <v>163</v>
      </c>
      <c r="Q485">
        <f t="shared" ca="1" si="37"/>
        <v>493</v>
      </c>
      <c r="R485" t="str">
        <f t="shared" si="38"/>
        <v>Normal</v>
      </c>
      <c r="S485">
        <f t="shared" si="39"/>
        <v>0</v>
      </c>
    </row>
    <row r="486" spans="1:19" x14ac:dyDescent="0.35">
      <c r="A486" t="s">
        <v>497</v>
      </c>
      <c r="B486" t="s">
        <v>997</v>
      </c>
      <c r="C486" t="s">
        <v>1015</v>
      </c>
      <c r="D486" t="s">
        <v>1021</v>
      </c>
      <c r="E486" s="6">
        <v>55302</v>
      </c>
      <c r="F486" s="6">
        <v>66375.819850127751</v>
      </c>
      <c r="G486" t="s">
        <v>1023</v>
      </c>
      <c r="H486" s="3">
        <v>45338</v>
      </c>
      <c r="I486" s="3">
        <v>45171</v>
      </c>
      <c r="J486" s="3">
        <v>45577</v>
      </c>
      <c r="K486" t="s">
        <v>1026</v>
      </c>
      <c r="L486">
        <v>30</v>
      </c>
      <c r="M486" s="6">
        <v>10326</v>
      </c>
      <c r="O486">
        <f t="shared" si="35"/>
        <v>1.2</v>
      </c>
      <c r="P486">
        <f t="shared" si="36"/>
        <v>406</v>
      </c>
      <c r="Q486">
        <f t="shared" ca="1" si="37"/>
        <v>625</v>
      </c>
      <c r="R486" t="str">
        <f t="shared" si="38"/>
        <v>High</v>
      </c>
      <c r="S486">
        <f t="shared" si="39"/>
        <v>66375.819850127751</v>
      </c>
    </row>
    <row r="487" spans="1:19" x14ac:dyDescent="0.35">
      <c r="A487" t="s">
        <v>498</v>
      </c>
      <c r="B487" t="s">
        <v>998</v>
      </c>
      <c r="C487" t="s">
        <v>1016</v>
      </c>
      <c r="D487" t="s">
        <v>1020</v>
      </c>
      <c r="E487" s="6">
        <v>25150</v>
      </c>
      <c r="F487" s="6">
        <v>52542.927821026307</v>
      </c>
      <c r="G487" t="s">
        <v>1023</v>
      </c>
      <c r="H487" s="3">
        <v>45488</v>
      </c>
      <c r="I487" s="3">
        <v>45281</v>
      </c>
      <c r="J487" s="3">
        <v>45480</v>
      </c>
      <c r="K487" t="s">
        <v>1026</v>
      </c>
      <c r="L487">
        <v>60</v>
      </c>
      <c r="M487" s="6">
        <v>5644</v>
      </c>
      <c r="O487">
        <f t="shared" si="35"/>
        <v>2.089</v>
      </c>
      <c r="P487">
        <f t="shared" si="36"/>
        <v>199</v>
      </c>
      <c r="Q487">
        <f t="shared" ca="1" si="37"/>
        <v>475</v>
      </c>
      <c r="R487" t="str">
        <f t="shared" si="38"/>
        <v>Normal</v>
      </c>
      <c r="S487">
        <f t="shared" si="39"/>
        <v>52542.927821026307</v>
      </c>
    </row>
    <row r="488" spans="1:19" x14ac:dyDescent="0.35">
      <c r="A488" t="s">
        <v>499</v>
      </c>
      <c r="B488" t="s">
        <v>999</v>
      </c>
      <c r="C488" t="s">
        <v>1013</v>
      </c>
      <c r="D488" t="s">
        <v>1021</v>
      </c>
      <c r="E488" s="6">
        <v>70247</v>
      </c>
      <c r="F488" s="6">
        <v>66833.939693687644</v>
      </c>
      <c r="G488" t="s">
        <v>1023</v>
      </c>
      <c r="H488" s="3">
        <v>45578</v>
      </c>
      <c r="I488" s="3">
        <v>45079</v>
      </c>
      <c r="J488" s="3">
        <v>45526</v>
      </c>
      <c r="K488" t="s">
        <v>1026</v>
      </c>
      <c r="L488">
        <v>60</v>
      </c>
      <c r="M488" s="6">
        <v>6970</v>
      </c>
      <c r="O488">
        <f t="shared" si="35"/>
        <v>0.95099999999999996</v>
      </c>
      <c r="P488">
        <f t="shared" si="36"/>
        <v>447</v>
      </c>
      <c r="Q488">
        <f t="shared" ca="1" si="37"/>
        <v>385</v>
      </c>
      <c r="R488" t="str">
        <f t="shared" si="38"/>
        <v>High</v>
      </c>
      <c r="S488">
        <f t="shared" si="39"/>
        <v>66833.939693687644</v>
      </c>
    </row>
    <row r="489" spans="1:19" x14ac:dyDescent="0.35">
      <c r="A489" t="s">
        <v>500</v>
      </c>
      <c r="B489" t="s">
        <v>1000</v>
      </c>
      <c r="C489" t="s">
        <v>1014</v>
      </c>
      <c r="D489" t="s">
        <v>1020</v>
      </c>
      <c r="E489" s="6">
        <v>6853</v>
      </c>
      <c r="F489" s="6">
        <v>7833.3958548634473</v>
      </c>
      <c r="G489" t="s">
        <v>1023</v>
      </c>
      <c r="H489" s="3">
        <v>45496</v>
      </c>
      <c r="I489" s="3">
        <v>44969</v>
      </c>
      <c r="J489" s="3">
        <v>45453</v>
      </c>
      <c r="K489" t="s">
        <v>1025</v>
      </c>
      <c r="L489">
        <v>24</v>
      </c>
      <c r="M489" s="6">
        <v>12327</v>
      </c>
      <c r="O489">
        <f t="shared" si="35"/>
        <v>1.143</v>
      </c>
      <c r="P489">
        <f t="shared" si="36"/>
        <v>484</v>
      </c>
      <c r="Q489">
        <f t="shared" ca="1" si="37"/>
        <v>467</v>
      </c>
      <c r="R489" t="str">
        <f t="shared" si="38"/>
        <v>Normal</v>
      </c>
      <c r="S489">
        <f t="shared" si="39"/>
        <v>7833.3958548634473</v>
      </c>
    </row>
    <row r="490" spans="1:19" x14ac:dyDescent="0.35">
      <c r="A490" t="s">
        <v>501</v>
      </c>
      <c r="B490" t="s">
        <v>1001</v>
      </c>
      <c r="C490" t="s">
        <v>1015</v>
      </c>
      <c r="D490" t="s">
        <v>1017</v>
      </c>
      <c r="E490" s="6">
        <v>96613</v>
      </c>
      <c r="F490" s="6">
        <v>26046.725047895769</v>
      </c>
      <c r="G490" t="s">
        <v>1023</v>
      </c>
      <c r="H490" s="3">
        <v>45516</v>
      </c>
      <c r="I490" s="3">
        <v>45120</v>
      </c>
      <c r="J490" s="3">
        <v>45492</v>
      </c>
      <c r="K490" t="s">
        <v>1026</v>
      </c>
      <c r="L490">
        <v>20</v>
      </c>
      <c r="M490" s="6">
        <v>10003</v>
      </c>
      <c r="O490">
        <f t="shared" si="35"/>
        <v>0.27</v>
      </c>
      <c r="P490">
        <f t="shared" si="36"/>
        <v>372</v>
      </c>
      <c r="Q490">
        <f t="shared" ca="1" si="37"/>
        <v>447</v>
      </c>
      <c r="R490" t="str">
        <f t="shared" si="38"/>
        <v>High</v>
      </c>
      <c r="S490">
        <f t="shared" si="39"/>
        <v>26046.725047895769</v>
      </c>
    </row>
    <row r="491" spans="1:19" x14ac:dyDescent="0.35">
      <c r="A491" t="s">
        <v>502</v>
      </c>
      <c r="B491" t="s">
        <v>1002</v>
      </c>
      <c r="C491" t="s">
        <v>1015</v>
      </c>
      <c r="D491" t="s">
        <v>1020</v>
      </c>
      <c r="E491" s="6">
        <v>91399</v>
      </c>
      <c r="F491" s="6">
        <v>0</v>
      </c>
      <c r="G491" t="s">
        <v>1023</v>
      </c>
      <c r="H491" s="3">
        <v>45538</v>
      </c>
      <c r="I491" s="3">
        <v>45048</v>
      </c>
      <c r="J491" s="3">
        <v>45325</v>
      </c>
      <c r="K491" t="s">
        <v>1025</v>
      </c>
      <c r="L491">
        <v>36</v>
      </c>
      <c r="M491" s="6">
        <v>5278</v>
      </c>
      <c r="O491">
        <f t="shared" si="35"/>
        <v>0</v>
      </c>
      <c r="P491">
        <f t="shared" si="36"/>
        <v>277</v>
      </c>
      <c r="Q491">
        <f t="shared" ca="1" si="37"/>
        <v>425</v>
      </c>
      <c r="R491" t="str">
        <f t="shared" si="38"/>
        <v>High</v>
      </c>
      <c r="S491">
        <f t="shared" si="39"/>
        <v>0</v>
      </c>
    </row>
    <row r="492" spans="1:19" x14ac:dyDescent="0.35">
      <c r="A492" t="s">
        <v>503</v>
      </c>
      <c r="B492" t="s">
        <v>1003</v>
      </c>
      <c r="C492" t="s">
        <v>1014</v>
      </c>
      <c r="D492" t="s">
        <v>1019</v>
      </c>
      <c r="E492" s="6">
        <v>23792</v>
      </c>
      <c r="F492" s="6">
        <v>0</v>
      </c>
      <c r="G492" t="s">
        <v>1023</v>
      </c>
      <c r="H492" s="3">
        <v>45445</v>
      </c>
      <c r="I492" s="3">
        <v>45265</v>
      </c>
      <c r="J492" s="3">
        <v>45432</v>
      </c>
      <c r="K492" t="s">
        <v>1025</v>
      </c>
      <c r="L492">
        <v>41</v>
      </c>
      <c r="M492" s="6">
        <v>9296</v>
      </c>
      <c r="O492">
        <f t="shared" si="35"/>
        <v>0</v>
      </c>
      <c r="P492">
        <f t="shared" si="36"/>
        <v>167</v>
      </c>
      <c r="Q492">
        <f t="shared" ca="1" si="37"/>
        <v>518</v>
      </c>
      <c r="R492" t="str">
        <f t="shared" si="38"/>
        <v>Normal</v>
      </c>
      <c r="S492">
        <f t="shared" si="39"/>
        <v>0</v>
      </c>
    </row>
    <row r="493" spans="1:19" x14ac:dyDescent="0.35">
      <c r="A493" t="s">
        <v>504</v>
      </c>
      <c r="B493" t="s">
        <v>1004</v>
      </c>
      <c r="C493" t="s">
        <v>1015</v>
      </c>
      <c r="D493" t="s">
        <v>1019</v>
      </c>
      <c r="E493" s="6">
        <v>61129</v>
      </c>
      <c r="F493" s="6">
        <v>61683.986912179309</v>
      </c>
      <c r="G493" t="s">
        <v>1023</v>
      </c>
      <c r="H493" s="3">
        <v>45386</v>
      </c>
      <c r="I493" s="3">
        <v>45051</v>
      </c>
      <c r="J493" s="3">
        <v>45417</v>
      </c>
      <c r="K493" t="s">
        <v>1026</v>
      </c>
      <c r="L493">
        <v>53</v>
      </c>
      <c r="M493" s="6">
        <v>11014</v>
      </c>
      <c r="O493">
        <f t="shared" si="35"/>
        <v>1.0089999999999999</v>
      </c>
      <c r="P493">
        <f t="shared" si="36"/>
        <v>366</v>
      </c>
      <c r="Q493">
        <f t="shared" ca="1" si="37"/>
        <v>577</v>
      </c>
      <c r="R493" t="str">
        <f t="shared" si="38"/>
        <v>High</v>
      </c>
      <c r="S493">
        <f t="shared" si="39"/>
        <v>61683.986912179309</v>
      </c>
    </row>
    <row r="494" spans="1:19" x14ac:dyDescent="0.35">
      <c r="A494" t="s">
        <v>505</v>
      </c>
      <c r="B494" t="s">
        <v>1005</v>
      </c>
      <c r="C494" t="s">
        <v>1015</v>
      </c>
      <c r="D494" t="s">
        <v>1019</v>
      </c>
      <c r="E494" s="6">
        <v>76478</v>
      </c>
      <c r="F494" s="6">
        <v>0</v>
      </c>
      <c r="G494" t="s">
        <v>1023</v>
      </c>
      <c r="H494" s="3">
        <v>45341</v>
      </c>
      <c r="I494" s="3">
        <v>45209</v>
      </c>
      <c r="J494" s="3">
        <v>45504</v>
      </c>
      <c r="K494" t="s">
        <v>1025</v>
      </c>
      <c r="L494">
        <v>64</v>
      </c>
      <c r="M494" s="6">
        <v>5074</v>
      </c>
      <c r="O494">
        <f t="shared" si="35"/>
        <v>0</v>
      </c>
      <c r="P494">
        <f t="shared" si="36"/>
        <v>295</v>
      </c>
      <c r="Q494">
        <f t="shared" ca="1" si="37"/>
        <v>622</v>
      </c>
      <c r="R494" t="str">
        <f t="shared" si="38"/>
        <v>High</v>
      </c>
      <c r="S494">
        <f t="shared" si="39"/>
        <v>0</v>
      </c>
    </row>
    <row r="495" spans="1:19" x14ac:dyDescent="0.35">
      <c r="A495" t="s">
        <v>506</v>
      </c>
      <c r="B495" t="s">
        <v>1006</v>
      </c>
      <c r="C495" t="s">
        <v>1016</v>
      </c>
      <c r="D495" t="s">
        <v>1019</v>
      </c>
      <c r="E495" s="6">
        <v>69298</v>
      </c>
      <c r="F495" s="6">
        <v>0</v>
      </c>
      <c r="G495" t="s">
        <v>1023</v>
      </c>
      <c r="H495" s="3">
        <v>45343</v>
      </c>
      <c r="I495" s="3">
        <v>45002</v>
      </c>
      <c r="J495" s="3">
        <v>45355</v>
      </c>
      <c r="K495" t="s">
        <v>1026</v>
      </c>
      <c r="L495">
        <v>60</v>
      </c>
      <c r="M495" s="6">
        <v>13173</v>
      </c>
      <c r="O495">
        <f t="shared" si="35"/>
        <v>0</v>
      </c>
      <c r="P495">
        <f t="shared" si="36"/>
        <v>353</v>
      </c>
      <c r="Q495">
        <f t="shared" ca="1" si="37"/>
        <v>620</v>
      </c>
      <c r="R495" t="str">
        <f t="shared" si="38"/>
        <v>High</v>
      </c>
      <c r="S495">
        <f t="shared" si="39"/>
        <v>0</v>
      </c>
    </row>
    <row r="496" spans="1:19" x14ac:dyDescent="0.35">
      <c r="A496" t="s">
        <v>507</v>
      </c>
      <c r="B496" t="s">
        <v>1007</v>
      </c>
      <c r="C496" t="s">
        <v>1015</v>
      </c>
      <c r="D496" t="s">
        <v>1021</v>
      </c>
      <c r="E496" s="6">
        <v>33987</v>
      </c>
      <c r="F496" s="6">
        <v>0</v>
      </c>
      <c r="G496" t="s">
        <v>1023</v>
      </c>
      <c r="H496" s="3">
        <v>45402</v>
      </c>
      <c r="I496" s="3">
        <v>45043</v>
      </c>
      <c r="J496" s="3">
        <v>45474</v>
      </c>
      <c r="K496" t="s">
        <v>1026</v>
      </c>
      <c r="L496">
        <v>48</v>
      </c>
      <c r="M496" s="6">
        <v>10312</v>
      </c>
      <c r="O496">
        <f t="shared" si="35"/>
        <v>0</v>
      </c>
      <c r="P496">
        <f t="shared" si="36"/>
        <v>431</v>
      </c>
      <c r="Q496">
        <f t="shared" ca="1" si="37"/>
        <v>561</v>
      </c>
      <c r="R496" t="str">
        <f t="shared" si="38"/>
        <v>Normal</v>
      </c>
      <c r="S496">
        <f t="shared" si="39"/>
        <v>0</v>
      </c>
    </row>
    <row r="497" spans="1:19" x14ac:dyDescent="0.35">
      <c r="A497" t="s">
        <v>508</v>
      </c>
      <c r="B497" t="s">
        <v>1008</v>
      </c>
      <c r="C497" t="s">
        <v>1013</v>
      </c>
      <c r="D497" t="s">
        <v>1017</v>
      </c>
      <c r="E497" s="6">
        <v>17850</v>
      </c>
      <c r="F497" s="6">
        <v>47723.768936795786</v>
      </c>
      <c r="G497" t="s">
        <v>1022</v>
      </c>
      <c r="H497" s="3">
        <v>45463</v>
      </c>
      <c r="I497" s="3">
        <v>44953</v>
      </c>
      <c r="J497" s="3">
        <v>45620</v>
      </c>
      <c r="K497" t="s">
        <v>1025</v>
      </c>
      <c r="L497">
        <v>23</v>
      </c>
      <c r="M497" s="6">
        <v>9552</v>
      </c>
      <c r="O497">
        <f t="shared" si="35"/>
        <v>2.6739999999999999</v>
      </c>
      <c r="P497">
        <f t="shared" si="36"/>
        <v>667</v>
      </c>
      <c r="Q497">
        <f t="shared" ca="1" si="37"/>
        <v>500</v>
      </c>
      <c r="R497" t="str">
        <f t="shared" si="38"/>
        <v>Normal</v>
      </c>
      <c r="S497">
        <f t="shared" si="39"/>
        <v>47723.768936795786</v>
      </c>
    </row>
    <row r="498" spans="1:19" x14ac:dyDescent="0.35">
      <c r="A498" t="s">
        <v>509</v>
      </c>
      <c r="B498" t="s">
        <v>1009</v>
      </c>
      <c r="C498" t="s">
        <v>1013</v>
      </c>
      <c r="D498" t="s">
        <v>1020</v>
      </c>
      <c r="E498" s="6">
        <v>14112</v>
      </c>
      <c r="F498" s="6">
        <v>26036.799679527419</v>
      </c>
      <c r="G498" t="s">
        <v>1023</v>
      </c>
      <c r="H498" s="3">
        <v>45454</v>
      </c>
      <c r="I498" s="3">
        <v>45183</v>
      </c>
      <c r="J498" s="3">
        <v>45504</v>
      </c>
      <c r="K498" t="s">
        <v>1025</v>
      </c>
      <c r="L498">
        <v>24</v>
      </c>
      <c r="M498" s="6">
        <v>3637</v>
      </c>
      <c r="O498">
        <f t="shared" si="35"/>
        <v>1.845</v>
      </c>
      <c r="P498">
        <f t="shared" si="36"/>
        <v>321</v>
      </c>
      <c r="Q498">
        <f t="shared" ca="1" si="37"/>
        <v>509</v>
      </c>
      <c r="R498" t="str">
        <f t="shared" si="38"/>
        <v>Normal</v>
      </c>
      <c r="S498">
        <f t="shared" si="39"/>
        <v>26036.799679527419</v>
      </c>
    </row>
    <row r="499" spans="1:19" x14ac:dyDescent="0.35">
      <c r="A499" t="s">
        <v>510</v>
      </c>
      <c r="B499" t="s">
        <v>1010</v>
      </c>
      <c r="C499" t="s">
        <v>1014</v>
      </c>
      <c r="D499" t="s">
        <v>1020</v>
      </c>
      <c r="E499" s="6">
        <v>26058</v>
      </c>
      <c r="F499" s="6">
        <v>20307.01629957397</v>
      </c>
      <c r="G499" t="s">
        <v>1023</v>
      </c>
      <c r="H499" s="3">
        <v>45517</v>
      </c>
      <c r="I499" s="3">
        <v>45008</v>
      </c>
      <c r="J499" s="3">
        <v>45549</v>
      </c>
      <c r="K499" t="s">
        <v>1026</v>
      </c>
      <c r="L499">
        <v>30</v>
      </c>
      <c r="M499" s="6">
        <v>7103</v>
      </c>
      <c r="O499">
        <f t="shared" si="35"/>
        <v>0.77900000000000003</v>
      </c>
      <c r="P499">
        <f t="shared" si="36"/>
        <v>541</v>
      </c>
      <c r="Q499">
        <f t="shared" ca="1" si="37"/>
        <v>446</v>
      </c>
      <c r="R499" t="str">
        <f t="shared" si="38"/>
        <v>Normal</v>
      </c>
      <c r="S499">
        <f t="shared" si="39"/>
        <v>20307.01629957397</v>
      </c>
    </row>
    <row r="500" spans="1:19" x14ac:dyDescent="0.35">
      <c r="A500" t="s">
        <v>511</v>
      </c>
      <c r="B500" t="s">
        <v>1011</v>
      </c>
      <c r="C500" t="s">
        <v>1015</v>
      </c>
      <c r="D500" t="s">
        <v>1019</v>
      </c>
      <c r="E500" s="6">
        <v>47420</v>
      </c>
      <c r="F500" s="6">
        <v>44325.306714504557</v>
      </c>
      <c r="G500" t="s">
        <v>1023</v>
      </c>
      <c r="H500" s="3">
        <v>45475</v>
      </c>
      <c r="I500" s="3">
        <v>45085</v>
      </c>
      <c r="J500" s="3">
        <v>45500</v>
      </c>
      <c r="K500" t="s">
        <v>1026</v>
      </c>
      <c r="L500">
        <v>40</v>
      </c>
      <c r="M500" s="6">
        <v>11116</v>
      </c>
      <c r="O500">
        <f t="shared" si="35"/>
        <v>0.93500000000000005</v>
      </c>
      <c r="P500">
        <f t="shared" si="36"/>
        <v>415</v>
      </c>
      <c r="Q500">
        <f t="shared" ca="1" si="37"/>
        <v>488</v>
      </c>
      <c r="R500" t="str">
        <f t="shared" si="38"/>
        <v>Normal</v>
      </c>
      <c r="S500">
        <f t="shared" si="39"/>
        <v>44325.306714504557</v>
      </c>
    </row>
    <row r="501" spans="1:19" x14ac:dyDescent="0.35">
      <c r="A501" t="s">
        <v>512</v>
      </c>
      <c r="B501" t="s">
        <v>1012</v>
      </c>
      <c r="C501" t="s">
        <v>1014</v>
      </c>
      <c r="D501" t="s">
        <v>1019</v>
      </c>
      <c r="E501" s="6">
        <v>40890</v>
      </c>
      <c r="F501" s="6">
        <v>73324.357344213975</v>
      </c>
      <c r="G501" t="s">
        <v>1024</v>
      </c>
      <c r="H501" s="3">
        <v>45459</v>
      </c>
      <c r="I501" s="3">
        <v>45204</v>
      </c>
      <c r="J501" s="3">
        <v>45413</v>
      </c>
      <c r="K501" t="s">
        <v>1025</v>
      </c>
      <c r="L501">
        <v>54</v>
      </c>
      <c r="M501" s="6">
        <v>2644</v>
      </c>
      <c r="O501">
        <f t="shared" si="35"/>
        <v>1.7929999999999999</v>
      </c>
      <c r="P501">
        <f t="shared" si="36"/>
        <v>209</v>
      </c>
      <c r="Q501">
        <f t="shared" ca="1" si="37"/>
        <v>504</v>
      </c>
      <c r="R501" t="str">
        <f t="shared" si="38"/>
        <v>Normal</v>
      </c>
      <c r="S501">
        <f t="shared" si="3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G2" sqref="G2:G3"/>
      <pivotSelection pane="bottomRight" showHeader="1" axis="axisRow" activeRow="1" activeCol="6" previousRow="1" previousCol="6" click="1" r:id="rId1">
        <pivotArea dataOnly="0" labelOnly="1" fieldPosition="0">
          <references count="1">
            <reference field="10" count="0"/>
          </references>
        </pivotArea>
      </pivotSelection>
    </sheetView>
  </sheetViews>
  <sheetFormatPr defaultRowHeight="14.5" x14ac:dyDescent="0.35"/>
  <cols>
    <col min="1" max="1" width="12.26953125" customWidth="1"/>
    <col min="2" max="2" width="23.36328125" customWidth="1"/>
    <col min="3" max="3" width="12.54296875" customWidth="1"/>
    <col min="4" max="4" width="14.453125" customWidth="1"/>
    <col min="5" max="5" width="18.36328125" customWidth="1"/>
    <col min="6" max="6" width="7.7265625" customWidth="1"/>
    <col min="7" max="7" width="12.36328125" bestFit="1" customWidth="1"/>
    <col min="8" max="8" width="18.54296875" bestFit="1" customWidth="1"/>
  </cols>
  <sheetData>
    <row r="1" spans="1:8" x14ac:dyDescent="0.35">
      <c r="A1" s="8" t="s">
        <v>1032</v>
      </c>
      <c r="B1" t="s">
        <v>1035</v>
      </c>
      <c r="D1" s="8" t="s">
        <v>1032</v>
      </c>
      <c r="E1" t="s">
        <v>1034</v>
      </c>
      <c r="G1" s="8" t="s">
        <v>1032</v>
      </c>
      <c r="H1" t="s">
        <v>1034</v>
      </c>
    </row>
    <row r="2" spans="1:8" x14ac:dyDescent="0.35">
      <c r="A2" s="9" t="s">
        <v>1015</v>
      </c>
      <c r="B2" s="10">
        <v>3988562.3683652338</v>
      </c>
      <c r="D2" s="9" t="s">
        <v>1021</v>
      </c>
      <c r="E2" s="10">
        <v>91</v>
      </c>
      <c r="G2" s="9" t="s">
        <v>1026</v>
      </c>
      <c r="H2" s="10">
        <v>226</v>
      </c>
    </row>
    <row r="3" spans="1:8" x14ac:dyDescent="0.35">
      <c r="A3" s="9" t="s">
        <v>1013</v>
      </c>
      <c r="B3" s="10">
        <v>4498463.8133035442</v>
      </c>
      <c r="D3" s="9" t="s">
        <v>1017</v>
      </c>
      <c r="E3" s="10">
        <v>114</v>
      </c>
      <c r="G3" s="9" t="s">
        <v>1025</v>
      </c>
      <c r="H3" s="10">
        <v>274</v>
      </c>
    </row>
    <row r="4" spans="1:8" x14ac:dyDescent="0.35">
      <c r="A4" s="9" t="s">
        <v>1016</v>
      </c>
      <c r="B4" s="10">
        <v>3527838.7991017993</v>
      </c>
      <c r="D4" s="9" t="s">
        <v>1019</v>
      </c>
      <c r="E4" s="10">
        <v>86</v>
      </c>
      <c r="G4" s="9" t="s">
        <v>1033</v>
      </c>
      <c r="H4" s="10">
        <v>500</v>
      </c>
    </row>
    <row r="5" spans="1:8" x14ac:dyDescent="0.35">
      <c r="A5" s="9" t="s">
        <v>1014</v>
      </c>
      <c r="B5" s="10">
        <v>5289131.1743512629</v>
      </c>
      <c r="D5" s="9" t="s">
        <v>1020</v>
      </c>
      <c r="E5" s="10">
        <v>110</v>
      </c>
    </row>
    <row r="6" spans="1:8" x14ac:dyDescent="0.35">
      <c r="A6" s="9" t="s">
        <v>1033</v>
      </c>
      <c r="B6" s="10">
        <v>17303996.155121841</v>
      </c>
      <c r="D6" s="9" t="s">
        <v>1018</v>
      </c>
      <c r="E6" s="10">
        <v>99</v>
      </c>
    </row>
    <row r="7" spans="1:8" x14ac:dyDescent="0.35">
      <c r="D7" s="9" t="s">
        <v>1033</v>
      </c>
      <c r="E7" s="10">
        <v>500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Main_Data</vt:lpstr>
      <vt:lpstr>Cleared_Data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2025-11-02T09:48:35Z</dcterms:created>
  <dcterms:modified xsi:type="dcterms:W3CDTF">2025-11-02T18:12:00Z</dcterms:modified>
</cp:coreProperties>
</file>